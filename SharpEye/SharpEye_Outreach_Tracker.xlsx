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 List" sheetId="1" state="visible" r:id="rId1"/>
    <sheet name="Email Campaigns" sheetId="2" state="visible" r:id="rId2"/>
    <sheet name="Cold Calls" sheetId="3" state="visible" r:id="rId3"/>
    <sheet name="Dashboard" sheetId="4" state="visible" r:id="rId4"/>
    <sheet name="Email Templates" sheetId="5" state="visible" r:id="rId5"/>
    <sheet name="Call Scripts" sheetId="6" state="visible" r:id="rId6"/>
  </sheets>
  <definedNames>
    <definedName name="_xlnm._FilterDatabase" localSheetId="0" hidden="1">'Lead List'!$A$1:$N$1</definedName>
    <definedName name="_xlnm._FilterDatabase" localSheetId="1" hidden="1">'Email Campaigns'!$A$1:$M$1</definedName>
    <definedName name="_xlnm._FilterDatabase" localSheetId="2" hidden="1">'Cold Calls'!$A$1:$K$1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1"/>
    </font>
    <font>
      <b val="1"/>
      <color rgb="001F4E79"/>
      <sz val="12"/>
    </font>
    <font>
      <i val="1"/>
      <color rgb="00808080"/>
    </font>
  </fonts>
  <fills count="5">
    <fill>
      <patternFill/>
    </fill>
    <fill>
      <patternFill patternType="gray125"/>
    </fill>
    <fill>
      <patternFill patternType="solid">
        <fgColor rgb="001F4E79"/>
        <bgColor rgb="001F4E79"/>
      </patternFill>
    </fill>
    <fill>
      <patternFill patternType="solid">
        <fgColor rgb="00F2F7FB"/>
        <bgColor rgb="00F2F7FB"/>
      </patternFill>
    </fill>
    <fill>
      <patternFill patternType="solid">
        <fgColor rgb="00FFFFFF"/>
        <bgColor rgb="00FFFFFF"/>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4" borderId="1" applyAlignment="1" pivotButton="0" quotePrefix="0" xfId="0">
      <alignment vertical="top"/>
    </xf>
    <xf numFmtId="0" fontId="3" fillId="0" borderId="0" pivotButton="0" quotePrefix="0" xfId="0"/>
  </cellXfs>
  <cellStyles count="1">
    <cellStyle name="Normal" xfId="0" builtinId="0" hidden="0"/>
  </cellStyles>
  <dxfs count="3">
    <dxf>
      <font>
        <color rgb="009C0006"/>
      </font>
      <fill>
        <patternFill patternType="solid">
          <fgColor rgb="00FFC7CE"/>
          <bgColor rgb="00FFC7CE"/>
        </patternFill>
      </fill>
    </dxf>
    <dxf>
      <font>
        <color rgb="00006100"/>
      </font>
      <fill>
        <patternFill patternType="solid">
          <fgColor rgb="00C6EFCE"/>
          <bgColor rgb="00C6EFCE"/>
        </patternFill>
      </fill>
    </dxf>
    <dxf>
      <font>
        <color rgb="009C57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2"/>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8" customWidth="1" min="3" max="3"/>
    <col width="20" customWidth="1" min="4" max="4"/>
    <col width="24" customWidth="1" min="5" max="5"/>
    <col width="32" customWidth="1" min="6" max="6"/>
    <col width="16" customWidth="1" min="7" max="7"/>
    <col width="20" customWidth="1" min="8" max="8"/>
    <col width="14" customWidth="1" min="9" max="9"/>
    <col width="22" customWidth="1" min="10" max="10"/>
    <col width="14" customWidth="1" min="11" max="11"/>
    <col width="16" customWidth="1" min="12" max="12"/>
    <col width="22" customWidth="1" min="13" max="13"/>
    <col width="36" customWidth="1" min="14" max="14"/>
  </cols>
  <sheetData>
    <row r="1">
      <c r="A1" s="1" t="inlineStr">
        <is>
          <t>Lead ID</t>
        </is>
      </c>
      <c r="B1" s="1" t="inlineStr">
        <is>
          <t>Company Name</t>
        </is>
      </c>
      <c r="C1" s="1" t="inlineStr">
        <is>
          <t>Contact First Name</t>
        </is>
      </c>
      <c r="D1" s="1" t="inlineStr">
        <is>
          <t>Contact Last Name</t>
        </is>
      </c>
      <c r="E1" s="1" t="inlineStr">
        <is>
          <t>Title</t>
        </is>
      </c>
      <c r="F1" s="1" t="inlineStr">
        <is>
          <t>Email</t>
        </is>
      </c>
      <c r="G1" s="1" t="inlineStr">
        <is>
          <t>Phone</t>
        </is>
      </c>
      <c r="H1" s="1" t="inlineStr">
        <is>
          <t>Company City</t>
        </is>
      </c>
      <c r="I1" s="1" t="inlineStr">
        <is>
          <t>Company State</t>
        </is>
      </c>
      <c r="J1" s="1" t="inlineStr">
        <is>
          <t>Industry</t>
        </is>
      </c>
      <c r="K1" s="1" t="inlineStr">
        <is>
          <t>Lead Score (1-5)</t>
        </is>
      </c>
      <c r="L1" s="1" t="inlineStr">
        <is>
          <t>Status</t>
        </is>
      </c>
      <c r="M1" s="1" t="inlineStr">
        <is>
          <t>Assigned Campaign</t>
        </is>
      </c>
      <c r="N1" s="1" t="inlineStr">
        <is>
          <t>Notes</t>
        </is>
      </c>
    </row>
    <row r="2">
      <c r="A2" s="2" t="n">
        <v>1</v>
      </c>
      <c r="B2" s="2" t="n"/>
      <c r="C2" s="2" t="n"/>
      <c r="D2" s="2" t="n"/>
      <c r="E2" s="2" t="n"/>
      <c r="F2" s="2" t="n"/>
      <c r="G2" s="2" t="n"/>
      <c r="H2" s="2" t="n"/>
      <c r="I2" s="2" t="n"/>
      <c r="J2" s="2" t="n"/>
      <c r="K2" s="2" t="n"/>
      <c r="L2" s="2" t="n"/>
      <c r="M2" s="2" t="n"/>
      <c r="N2" s="2" t="n"/>
    </row>
    <row r="3">
      <c r="A3" s="3" t="n">
        <v>2</v>
      </c>
      <c r="B3" s="3" t="n"/>
      <c r="C3" s="3" t="n"/>
      <c r="D3" s="3" t="n"/>
      <c r="E3" s="3" t="n"/>
      <c r="F3" s="3" t="n"/>
      <c r="G3" s="3" t="n"/>
      <c r="H3" s="3" t="n"/>
      <c r="I3" s="3" t="n"/>
      <c r="J3" s="3" t="n"/>
      <c r="K3" s="3" t="n"/>
      <c r="L3" s="3" t="n"/>
      <c r="M3" s="3" t="n"/>
      <c r="N3" s="3" t="n"/>
    </row>
    <row r="4">
      <c r="A4" s="2" t="n">
        <v>3</v>
      </c>
      <c r="B4" s="2" t="n"/>
      <c r="C4" s="2" t="n"/>
      <c r="D4" s="2" t="n"/>
      <c r="E4" s="2" t="n"/>
      <c r="F4" s="2" t="n"/>
      <c r="G4" s="2" t="n"/>
      <c r="H4" s="2" t="n"/>
      <c r="I4" s="2" t="n"/>
      <c r="J4" s="2" t="n"/>
      <c r="K4" s="2" t="n"/>
      <c r="L4" s="2" t="n"/>
      <c r="M4" s="2" t="n"/>
      <c r="N4" s="2" t="n"/>
    </row>
    <row r="5">
      <c r="A5" s="3" t="n">
        <v>4</v>
      </c>
      <c r="B5" s="3" t="n"/>
      <c r="C5" s="3" t="n"/>
      <c r="D5" s="3" t="n"/>
      <c r="E5" s="3" t="n"/>
      <c r="F5" s="3" t="n"/>
      <c r="G5" s="3" t="n"/>
      <c r="H5" s="3" t="n"/>
      <c r="I5" s="3" t="n"/>
      <c r="J5" s="3" t="n"/>
      <c r="K5" s="3" t="n"/>
      <c r="L5" s="3" t="n"/>
      <c r="M5" s="3" t="n"/>
      <c r="N5" s="3" t="n"/>
    </row>
    <row r="6">
      <c r="A6" s="2" t="n">
        <v>5</v>
      </c>
      <c r="B6" s="2" t="n"/>
      <c r="C6" s="2" t="n"/>
      <c r="D6" s="2" t="n"/>
      <c r="E6" s="2" t="n"/>
      <c r="F6" s="2" t="n"/>
      <c r="G6" s="2" t="n"/>
      <c r="H6" s="2" t="n"/>
      <c r="I6" s="2" t="n"/>
      <c r="J6" s="2" t="n"/>
      <c r="K6" s="2" t="n"/>
      <c r="L6" s="2" t="n"/>
      <c r="M6" s="2" t="n"/>
      <c r="N6" s="2" t="n"/>
    </row>
    <row r="7">
      <c r="A7" s="3" t="n">
        <v>6</v>
      </c>
      <c r="B7" s="3" t="n"/>
      <c r="C7" s="3" t="n"/>
      <c r="D7" s="3" t="n"/>
      <c r="E7" s="3" t="n"/>
      <c r="F7" s="3" t="n"/>
      <c r="G7" s="3" t="n"/>
      <c r="H7" s="3" t="n"/>
      <c r="I7" s="3" t="n"/>
      <c r="J7" s="3" t="n"/>
      <c r="K7" s="3" t="n"/>
      <c r="L7" s="3" t="n"/>
      <c r="M7" s="3" t="n"/>
      <c r="N7" s="3" t="n"/>
    </row>
    <row r="8">
      <c r="A8" s="2" t="n">
        <v>7</v>
      </c>
      <c r="B8" s="2" t="n"/>
      <c r="C8" s="2" t="n"/>
      <c r="D8" s="2" t="n"/>
      <c r="E8" s="2" t="n"/>
      <c r="F8" s="2" t="n"/>
      <c r="G8" s="2" t="n"/>
      <c r="H8" s="2" t="n"/>
      <c r="I8" s="2" t="n"/>
      <c r="J8" s="2" t="n"/>
      <c r="K8" s="2" t="n"/>
      <c r="L8" s="2" t="n"/>
      <c r="M8" s="2" t="n"/>
      <c r="N8" s="2" t="n"/>
    </row>
    <row r="9">
      <c r="A9" s="3" t="n">
        <v>8</v>
      </c>
      <c r="B9" s="3" t="n"/>
      <c r="C9" s="3" t="n"/>
      <c r="D9" s="3" t="n"/>
      <c r="E9" s="3" t="n"/>
      <c r="F9" s="3" t="n"/>
      <c r="G9" s="3" t="n"/>
      <c r="H9" s="3" t="n"/>
      <c r="I9" s="3" t="n"/>
      <c r="J9" s="3" t="n"/>
      <c r="K9" s="3" t="n"/>
      <c r="L9" s="3" t="n"/>
      <c r="M9" s="3" t="n"/>
      <c r="N9" s="3" t="n"/>
    </row>
    <row r="10">
      <c r="A10" s="2" t="n">
        <v>9</v>
      </c>
      <c r="B10" s="2" t="n"/>
      <c r="C10" s="2" t="n"/>
      <c r="D10" s="2" t="n"/>
      <c r="E10" s="2" t="n"/>
      <c r="F10" s="2" t="n"/>
      <c r="G10" s="2" t="n"/>
      <c r="H10" s="2" t="n"/>
      <c r="I10" s="2" t="n"/>
      <c r="J10" s="2" t="n"/>
      <c r="K10" s="2" t="n"/>
      <c r="L10" s="2" t="n"/>
      <c r="M10" s="2" t="n"/>
      <c r="N10" s="2" t="n"/>
    </row>
    <row r="11">
      <c r="A11" s="3" t="n">
        <v>10</v>
      </c>
      <c r="B11" s="3" t="n"/>
      <c r="C11" s="3" t="n"/>
      <c r="D11" s="3" t="n"/>
      <c r="E11" s="3" t="n"/>
      <c r="F11" s="3" t="n"/>
      <c r="G11" s="3" t="n"/>
      <c r="H11" s="3" t="n"/>
      <c r="I11" s="3" t="n"/>
      <c r="J11" s="3" t="n"/>
      <c r="K11" s="3" t="n"/>
      <c r="L11" s="3" t="n"/>
      <c r="M11" s="3" t="n"/>
      <c r="N11" s="3" t="n"/>
    </row>
    <row r="12">
      <c r="A12" s="2" t="n">
        <v>11</v>
      </c>
      <c r="B12" s="2" t="n"/>
      <c r="C12" s="2" t="n"/>
      <c r="D12" s="2" t="n"/>
      <c r="E12" s="2" t="n"/>
      <c r="F12" s="2" t="n"/>
      <c r="G12" s="2" t="n"/>
      <c r="H12" s="2" t="n"/>
      <c r="I12" s="2" t="n"/>
      <c r="J12" s="2" t="n"/>
      <c r="K12" s="2" t="n"/>
      <c r="L12" s="2" t="n"/>
      <c r="M12" s="2" t="n"/>
      <c r="N12" s="2" t="n"/>
    </row>
    <row r="13">
      <c r="A13" s="3" t="n">
        <v>12</v>
      </c>
      <c r="B13" s="3" t="n"/>
      <c r="C13" s="3" t="n"/>
      <c r="D13" s="3" t="n"/>
      <c r="E13" s="3" t="n"/>
      <c r="F13" s="3" t="n"/>
      <c r="G13" s="3" t="n"/>
      <c r="H13" s="3" t="n"/>
      <c r="I13" s="3" t="n"/>
      <c r="J13" s="3" t="n"/>
      <c r="K13" s="3" t="n"/>
      <c r="L13" s="3" t="n"/>
      <c r="M13" s="3" t="n"/>
      <c r="N13" s="3" t="n"/>
    </row>
    <row r="14">
      <c r="A14" s="2" t="n">
        <v>13</v>
      </c>
      <c r="B14" s="2" t="n"/>
      <c r="C14" s="2" t="n"/>
      <c r="D14" s="2" t="n"/>
      <c r="E14" s="2" t="n"/>
      <c r="F14" s="2" t="n"/>
      <c r="G14" s="2" t="n"/>
      <c r="H14" s="2" t="n"/>
      <c r="I14" s="2" t="n"/>
      <c r="J14" s="2" t="n"/>
      <c r="K14" s="2" t="n"/>
      <c r="L14" s="2" t="n"/>
      <c r="M14" s="2" t="n"/>
      <c r="N14" s="2" t="n"/>
    </row>
    <row r="15">
      <c r="A15" s="3" t="n">
        <v>14</v>
      </c>
      <c r="B15" s="3" t="n"/>
      <c r="C15" s="3" t="n"/>
      <c r="D15" s="3" t="n"/>
      <c r="E15" s="3" t="n"/>
      <c r="F15" s="3" t="n"/>
      <c r="G15" s="3" t="n"/>
      <c r="H15" s="3" t="n"/>
      <c r="I15" s="3" t="n"/>
      <c r="J15" s="3" t="n"/>
      <c r="K15" s="3" t="n"/>
      <c r="L15" s="3" t="n"/>
      <c r="M15" s="3" t="n"/>
      <c r="N15" s="3" t="n"/>
    </row>
    <row r="16">
      <c r="A16" s="2" t="n">
        <v>15</v>
      </c>
      <c r="B16" s="2" t="n"/>
      <c r="C16" s="2" t="n"/>
      <c r="D16" s="2" t="n"/>
      <c r="E16" s="2" t="n"/>
      <c r="F16" s="2" t="n"/>
      <c r="G16" s="2" t="n"/>
      <c r="H16" s="2" t="n"/>
      <c r="I16" s="2" t="n"/>
      <c r="J16" s="2" t="n"/>
      <c r="K16" s="2" t="n"/>
      <c r="L16" s="2" t="n"/>
      <c r="M16" s="2" t="n"/>
      <c r="N16" s="2" t="n"/>
    </row>
    <row r="17">
      <c r="A17" s="3" t="n">
        <v>16</v>
      </c>
      <c r="B17" s="3" t="n"/>
      <c r="C17" s="3" t="n"/>
      <c r="D17" s="3" t="n"/>
      <c r="E17" s="3" t="n"/>
      <c r="F17" s="3" t="n"/>
      <c r="G17" s="3" t="n"/>
      <c r="H17" s="3" t="n"/>
      <c r="I17" s="3" t="n"/>
      <c r="J17" s="3" t="n"/>
      <c r="K17" s="3" t="n"/>
      <c r="L17" s="3" t="n"/>
      <c r="M17" s="3" t="n"/>
      <c r="N17" s="3" t="n"/>
    </row>
    <row r="18">
      <c r="A18" s="2" t="n">
        <v>17</v>
      </c>
      <c r="B18" s="2" t="n"/>
      <c r="C18" s="2" t="n"/>
      <c r="D18" s="2" t="n"/>
      <c r="E18" s="2" t="n"/>
      <c r="F18" s="2" t="n"/>
      <c r="G18" s="2" t="n"/>
      <c r="H18" s="2" t="n"/>
      <c r="I18" s="2" t="n"/>
      <c r="J18" s="2" t="n"/>
      <c r="K18" s="2" t="n"/>
      <c r="L18" s="2" t="n"/>
      <c r="M18" s="2" t="n"/>
      <c r="N18" s="2" t="n"/>
    </row>
    <row r="19">
      <c r="A19" s="3" t="n">
        <v>18</v>
      </c>
      <c r="B19" s="3" t="n"/>
      <c r="C19" s="3" t="n"/>
      <c r="D19" s="3" t="n"/>
      <c r="E19" s="3" t="n"/>
      <c r="F19" s="3" t="n"/>
      <c r="G19" s="3" t="n"/>
      <c r="H19" s="3" t="n"/>
      <c r="I19" s="3" t="n"/>
      <c r="J19" s="3" t="n"/>
      <c r="K19" s="3" t="n"/>
      <c r="L19" s="3" t="n"/>
      <c r="M19" s="3" t="n"/>
      <c r="N19" s="3" t="n"/>
    </row>
    <row r="20">
      <c r="A20" s="2" t="n">
        <v>19</v>
      </c>
      <c r="B20" s="2" t="n"/>
      <c r="C20" s="2" t="n"/>
      <c r="D20" s="2" t="n"/>
      <c r="E20" s="2" t="n"/>
      <c r="F20" s="2" t="n"/>
      <c r="G20" s="2" t="n"/>
      <c r="H20" s="2" t="n"/>
      <c r="I20" s="2" t="n"/>
      <c r="J20" s="2" t="n"/>
      <c r="K20" s="2" t="n"/>
      <c r="L20" s="2" t="n"/>
      <c r="M20" s="2" t="n"/>
      <c r="N20" s="2" t="n"/>
    </row>
    <row r="21">
      <c r="A21" s="3" t="n">
        <v>20</v>
      </c>
      <c r="B21" s="3" t="n"/>
      <c r="C21" s="3" t="n"/>
      <c r="D21" s="3" t="n"/>
      <c r="E21" s="3" t="n"/>
      <c r="F21" s="3" t="n"/>
      <c r="G21" s="3" t="n"/>
      <c r="H21" s="3" t="n"/>
      <c r="I21" s="3" t="n"/>
      <c r="J21" s="3" t="n"/>
      <c r="K21" s="3" t="n"/>
      <c r="L21" s="3" t="n"/>
      <c r="M21" s="3" t="n"/>
      <c r="N21" s="3" t="n"/>
    </row>
    <row r="22">
      <c r="A22" s="2" t="n">
        <v>21</v>
      </c>
      <c r="B22" s="2" t="n"/>
      <c r="C22" s="2" t="n"/>
      <c r="D22" s="2" t="n"/>
      <c r="E22" s="2" t="n"/>
      <c r="F22" s="2" t="n"/>
      <c r="G22" s="2" t="n"/>
      <c r="H22" s="2" t="n"/>
      <c r="I22" s="2" t="n"/>
      <c r="J22" s="2" t="n"/>
      <c r="K22" s="2" t="n"/>
      <c r="L22" s="2" t="n"/>
      <c r="M22" s="2" t="n"/>
      <c r="N22" s="2" t="n"/>
    </row>
    <row r="23">
      <c r="A23" s="3" t="n">
        <v>22</v>
      </c>
      <c r="B23" s="3" t="n"/>
      <c r="C23" s="3" t="n"/>
      <c r="D23" s="3" t="n"/>
      <c r="E23" s="3" t="n"/>
      <c r="F23" s="3" t="n"/>
      <c r="G23" s="3" t="n"/>
      <c r="H23" s="3" t="n"/>
      <c r="I23" s="3" t="n"/>
      <c r="J23" s="3" t="n"/>
      <c r="K23" s="3" t="n"/>
      <c r="L23" s="3" t="n"/>
      <c r="M23" s="3" t="n"/>
      <c r="N23" s="3" t="n"/>
    </row>
    <row r="24">
      <c r="A24" s="2" t="n">
        <v>23</v>
      </c>
      <c r="B24" s="2" t="n"/>
      <c r="C24" s="2" t="n"/>
      <c r="D24" s="2" t="n"/>
      <c r="E24" s="2" t="n"/>
      <c r="F24" s="2" t="n"/>
      <c r="G24" s="2" t="n"/>
      <c r="H24" s="2" t="n"/>
      <c r="I24" s="2" t="n"/>
      <c r="J24" s="2" t="n"/>
      <c r="K24" s="2" t="n"/>
      <c r="L24" s="2" t="n"/>
      <c r="M24" s="2" t="n"/>
      <c r="N24" s="2" t="n"/>
    </row>
    <row r="25">
      <c r="A25" s="3" t="n">
        <v>24</v>
      </c>
      <c r="B25" s="3" t="n"/>
      <c r="C25" s="3" t="n"/>
      <c r="D25" s="3" t="n"/>
      <c r="E25" s="3" t="n"/>
      <c r="F25" s="3" t="n"/>
      <c r="G25" s="3" t="n"/>
      <c r="H25" s="3" t="n"/>
      <c r="I25" s="3" t="n"/>
      <c r="J25" s="3" t="n"/>
      <c r="K25" s="3" t="n"/>
      <c r="L25" s="3" t="n"/>
      <c r="M25" s="3" t="n"/>
      <c r="N25" s="3" t="n"/>
    </row>
    <row r="26">
      <c r="A26" s="2" t="n">
        <v>25</v>
      </c>
      <c r="B26" s="2" t="n"/>
      <c r="C26" s="2" t="n"/>
      <c r="D26" s="2" t="n"/>
      <c r="E26" s="2" t="n"/>
      <c r="F26" s="2" t="n"/>
      <c r="G26" s="2" t="n"/>
      <c r="H26" s="2" t="n"/>
      <c r="I26" s="2" t="n"/>
      <c r="J26" s="2" t="n"/>
      <c r="K26" s="2" t="n"/>
      <c r="L26" s="2" t="n"/>
      <c r="M26" s="2" t="n"/>
      <c r="N26" s="2" t="n"/>
    </row>
    <row r="27">
      <c r="A27" s="3" t="n">
        <v>26</v>
      </c>
      <c r="B27" s="3" t="n"/>
      <c r="C27" s="3" t="n"/>
      <c r="D27" s="3" t="n"/>
      <c r="E27" s="3" t="n"/>
      <c r="F27" s="3" t="n"/>
      <c r="G27" s="3" t="n"/>
      <c r="H27" s="3" t="n"/>
      <c r="I27" s="3" t="n"/>
      <c r="J27" s="3" t="n"/>
      <c r="K27" s="3" t="n"/>
      <c r="L27" s="3" t="n"/>
      <c r="M27" s="3" t="n"/>
      <c r="N27" s="3" t="n"/>
    </row>
    <row r="28">
      <c r="A28" s="2" t="n">
        <v>27</v>
      </c>
      <c r="B28" s="2" t="n"/>
      <c r="C28" s="2" t="n"/>
      <c r="D28" s="2" t="n"/>
      <c r="E28" s="2" t="n"/>
      <c r="F28" s="2" t="n"/>
      <c r="G28" s="2" t="n"/>
      <c r="H28" s="2" t="n"/>
      <c r="I28" s="2" t="n"/>
      <c r="J28" s="2" t="n"/>
      <c r="K28" s="2" t="n"/>
      <c r="L28" s="2" t="n"/>
      <c r="M28" s="2" t="n"/>
      <c r="N28" s="2" t="n"/>
    </row>
    <row r="29">
      <c r="A29" s="3" t="n">
        <v>28</v>
      </c>
      <c r="B29" s="3" t="n"/>
      <c r="C29" s="3" t="n"/>
      <c r="D29" s="3" t="n"/>
      <c r="E29" s="3" t="n"/>
      <c r="F29" s="3" t="n"/>
      <c r="G29" s="3" t="n"/>
      <c r="H29" s="3" t="n"/>
      <c r="I29" s="3" t="n"/>
      <c r="J29" s="3" t="n"/>
      <c r="K29" s="3" t="n"/>
      <c r="L29" s="3" t="n"/>
      <c r="M29" s="3" t="n"/>
      <c r="N29" s="3" t="n"/>
    </row>
    <row r="30">
      <c r="A30" s="2" t="n">
        <v>29</v>
      </c>
      <c r="B30" s="2" t="n"/>
      <c r="C30" s="2" t="n"/>
      <c r="D30" s="2" t="n"/>
      <c r="E30" s="2" t="n"/>
      <c r="F30" s="2" t="n"/>
      <c r="G30" s="2" t="n"/>
      <c r="H30" s="2" t="n"/>
      <c r="I30" s="2" t="n"/>
      <c r="J30" s="2" t="n"/>
      <c r="K30" s="2" t="n"/>
      <c r="L30" s="2" t="n"/>
      <c r="M30" s="2" t="n"/>
      <c r="N30" s="2" t="n"/>
    </row>
    <row r="31">
      <c r="A31" s="3" t="n">
        <v>30</v>
      </c>
      <c r="B31" s="3" t="n"/>
      <c r="C31" s="3" t="n"/>
      <c r="D31" s="3" t="n"/>
      <c r="E31" s="3" t="n"/>
      <c r="F31" s="3" t="n"/>
      <c r="G31" s="3" t="n"/>
      <c r="H31" s="3" t="n"/>
      <c r="I31" s="3" t="n"/>
      <c r="J31" s="3" t="n"/>
      <c r="K31" s="3" t="n"/>
      <c r="L31" s="3" t="n"/>
      <c r="M31" s="3" t="n"/>
      <c r="N31" s="3" t="n"/>
    </row>
    <row r="32">
      <c r="A32" s="2" t="n"/>
      <c r="B32" s="2" t="n"/>
      <c r="C32" s="2" t="n"/>
      <c r="D32" s="2" t="n"/>
      <c r="E32" s="2" t="n"/>
      <c r="F32" s="2" t="n"/>
      <c r="G32" s="2" t="n"/>
      <c r="H32" s="2" t="n"/>
      <c r="I32" s="2" t="n"/>
      <c r="J32" s="2" t="n"/>
      <c r="K32" s="2" t="n"/>
      <c r="L32" s="2" t="n"/>
      <c r="M32" s="2" t="n"/>
      <c r="N32" s="2" t="n"/>
    </row>
  </sheetData>
  <autoFilter ref="A1:N1"/>
  <conditionalFormatting sqref="L2:L32">
    <cfRule type="cellIs" priority="1" operator="equal" dxfId="0">
      <formula>"Lost"</formula>
    </cfRule>
    <cfRule type="cellIs" priority="2" operator="equal" dxfId="1">
      <formula>"Won"</formula>
    </cfRule>
    <cfRule type="cellIs" priority="3" operator="equal" dxfId="2">
      <formula>"Meeting Booked"</formula>
    </cfRule>
  </conditionalFormatting>
  <dataValidations count="2">
    <dataValidation sqref="K2:K32" showDropDown="0" showInputMessage="0" showErrorMessage="0" allowBlank="0" error="Score must be 1–5" type="whole" operator="between">
      <formula1>1</formula1>
      <formula2>5</formula2>
    </dataValidation>
    <dataValidation sqref="L2:L32" showDropDown="0" showInputMessage="0" showErrorMessage="0" allowBlank="1" errorTitle="Invalid Status" error="Please select a value from the dropdown." type="list">
      <formula1>"New,Emailed,Called,Replied,Meeting Booked,Quoted,Won,Lost"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28" customWidth="1" min="3" max="3"/>
    <col width="26" customWidth="1" min="4" max="4"/>
    <col width="16" customWidth="1" min="5" max="5"/>
    <col width="12" customWidth="1" min="6" max="6"/>
    <col width="12" customWidth="1" min="7" max="7"/>
    <col width="12" customWidth="1" min="8" max="8"/>
    <col width="36" customWidth="1" min="9" max="9"/>
    <col width="18" customWidth="1" min="10" max="10"/>
    <col width="18" customWidth="1" min="11" max="11"/>
    <col width="18" customWidth="1" min="12" max="12"/>
    <col width="18" customWidth="1" min="13" max="13"/>
  </cols>
  <sheetData>
    <row r="1">
      <c r="A1" s="1" t="inlineStr">
        <is>
          <t>Lead ID</t>
        </is>
      </c>
      <c r="B1" s="1" t="inlineStr">
        <is>
          <t>Contact Name</t>
        </is>
      </c>
      <c r="C1" s="1" t="inlineStr">
        <is>
          <t>Company</t>
        </is>
      </c>
      <c r="D1" s="1" t="inlineStr">
        <is>
          <t>Campaign Name</t>
        </is>
      </c>
      <c r="E1" s="1" t="inlineStr">
        <is>
          <t>Email Sent Date</t>
        </is>
      </c>
      <c r="F1" s="1" t="inlineStr">
        <is>
          <t>Opened?</t>
        </is>
      </c>
      <c r="G1" s="1" t="inlineStr">
        <is>
          <t>Clicked?</t>
        </is>
      </c>
      <c r="H1" s="1" t="inlineStr">
        <is>
          <t>Replied?</t>
        </is>
      </c>
      <c r="I1" s="1" t="inlineStr">
        <is>
          <t>Reply Notes</t>
        </is>
      </c>
      <c r="J1" s="1" t="inlineStr">
        <is>
          <t>Follow-up #1 Date</t>
        </is>
      </c>
      <c r="K1" s="1" t="inlineStr">
        <is>
          <t>Follow-up #2 Date</t>
        </is>
      </c>
      <c r="L1" s="1" t="inlineStr">
        <is>
          <t>Follow-up #3 Date</t>
        </is>
      </c>
      <c r="M1" s="1" t="inlineStr">
        <is>
          <t>Status</t>
        </is>
      </c>
    </row>
    <row r="2">
      <c r="A2" s="2" t="n">
        <v>1</v>
      </c>
      <c r="B2" s="2" t="n"/>
      <c r="C2" s="2" t="n"/>
      <c r="D2" s="2" t="n"/>
      <c r="E2" s="2" t="n"/>
      <c r="F2" s="2" t="n"/>
      <c r="G2" s="2" t="n"/>
      <c r="H2" s="2" t="n"/>
      <c r="I2" s="2" t="n"/>
      <c r="J2" s="2">
        <f>IF(E2="","",WORKDAY(E2,3))</f>
        <v/>
      </c>
      <c r="K2" s="2">
        <f>IF(J2="","",WORKDAY(J2,5))</f>
        <v/>
      </c>
      <c r="L2" s="2">
        <f>IF(K2="","",WORKDAY(K2,7))</f>
        <v/>
      </c>
      <c r="M2" s="2" t="n"/>
    </row>
    <row r="3">
      <c r="A3" s="3" t="n">
        <v>2</v>
      </c>
      <c r="B3" s="3" t="n"/>
      <c r="C3" s="3" t="n"/>
      <c r="D3" s="3" t="n"/>
      <c r="E3" s="3" t="n"/>
      <c r="F3" s="3" t="n"/>
      <c r="G3" s="3" t="n"/>
      <c r="H3" s="3" t="n"/>
      <c r="I3" s="3" t="n"/>
      <c r="J3" s="3">
        <f>IF(E3="","",WORKDAY(E3,3))</f>
        <v/>
      </c>
      <c r="K3" s="3">
        <f>IF(J3="","",WORKDAY(J3,5))</f>
        <v/>
      </c>
      <c r="L3" s="3">
        <f>IF(K3="","",WORKDAY(K3,7))</f>
        <v/>
      </c>
      <c r="M3" s="3" t="n"/>
    </row>
    <row r="4">
      <c r="A4" s="2" t="n">
        <v>3</v>
      </c>
      <c r="B4" s="2" t="n"/>
      <c r="C4" s="2" t="n"/>
      <c r="D4" s="2" t="n"/>
      <c r="E4" s="2" t="n"/>
      <c r="F4" s="2" t="n"/>
      <c r="G4" s="2" t="n"/>
      <c r="H4" s="2" t="n"/>
      <c r="I4" s="2" t="n"/>
      <c r="J4" s="2">
        <f>IF(E4="","",WORKDAY(E4,3))</f>
        <v/>
      </c>
      <c r="K4" s="2">
        <f>IF(J4="","",WORKDAY(J4,5))</f>
        <v/>
      </c>
      <c r="L4" s="2">
        <f>IF(K4="","",WORKDAY(K4,7))</f>
        <v/>
      </c>
      <c r="M4" s="2" t="n"/>
    </row>
    <row r="5">
      <c r="A5" s="3" t="n">
        <v>4</v>
      </c>
      <c r="B5" s="3" t="n"/>
      <c r="C5" s="3" t="n"/>
      <c r="D5" s="3" t="n"/>
      <c r="E5" s="3" t="n"/>
      <c r="F5" s="3" t="n"/>
      <c r="G5" s="3" t="n"/>
      <c r="H5" s="3" t="n"/>
      <c r="I5" s="3" t="n"/>
      <c r="J5" s="3">
        <f>IF(E5="","",WORKDAY(E5,3))</f>
        <v/>
      </c>
      <c r="K5" s="3">
        <f>IF(J5="","",WORKDAY(J5,5))</f>
        <v/>
      </c>
      <c r="L5" s="3">
        <f>IF(K5="","",WORKDAY(K5,7))</f>
        <v/>
      </c>
      <c r="M5" s="3" t="n"/>
    </row>
    <row r="6">
      <c r="A6" s="2" t="n">
        <v>5</v>
      </c>
      <c r="B6" s="2" t="n"/>
      <c r="C6" s="2" t="n"/>
      <c r="D6" s="2" t="n"/>
      <c r="E6" s="2" t="n"/>
      <c r="F6" s="2" t="n"/>
      <c r="G6" s="2" t="n"/>
      <c r="H6" s="2" t="n"/>
      <c r="I6" s="2" t="n"/>
      <c r="J6" s="2">
        <f>IF(E6="","",WORKDAY(E6,3))</f>
        <v/>
      </c>
      <c r="K6" s="2">
        <f>IF(J6="","",WORKDAY(J6,5))</f>
        <v/>
      </c>
      <c r="L6" s="2">
        <f>IF(K6="","",WORKDAY(K6,7))</f>
        <v/>
      </c>
      <c r="M6" s="2" t="n"/>
    </row>
    <row r="7">
      <c r="A7" s="3" t="n">
        <v>6</v>
      </c>
      <c r="B7" s="3" t="n"/>
      <c r="C7" s="3" t="n"/>
      <c r="D7" s="3" t="n"/>
      <c r="E7" s="3" t="n"/>
      <c r="F7" s="3" t="n"/>
      <c r="G7" s="3" t="n"/>
      <c r="H7" s="3" t="n"/>
      <c r="I7" s="3" t="n"/>
      <c r="J7" s="3">
        <f>IF(E7="","",WORKDAY(E7,3))</f>
        <v/>
      </c>
      <c r="K7" s="3">
        <f>IF(J7="","",WORKDAY(J7,5))</f>
        <v/>
      </c>
      <c r="L7" s="3">
        <f>IF(K7="","",WORKDAY(K7,7))</f>
        <v/>
      </c>
      <c r="M7" s="3" t="n"/>
    </row>
    <row r="8">
      <c r="A8" s="2" t="n">
        <v>7</v>
      </c>
      <c r="B8" s="2" t="n"/>
      <c r="C8" s="2" t="n"/>
      <c r="D8" s="2" t="n"/>
      <c r="E8" s="2" t="n"/>
      <c r="F8" s="2" t="n"/>
      <c r="G8" s="2" t="n"/>
      <c r="H8" s="2" t="n"/>
      <c r="I8" s="2" t="n"/>
      <c r="J8" s="2">
        <f>IF(E8="","",WORKDAY(E8,3))</f>
        <v/>
      </c>
      <c r="K8" s="2">
        <f>IF(J8="","",WORKDAY(J8,5))</f>
        <v/>
      </c>
      <c r="L8" s="2">
        <f>IF(K8="","",WORKDAY(K8,7))</f>
        <v/>
      </c>
      <c r="M8" s="2" t="n"/>
    </row>
    <row r="9">
      <c r="A9" s="3" t="n">
        <v>8</v>
      </c>
      <c r="B9" s="3" t="n"/>
      <c r="C9" s="3" t="n"/>
      <c r="D9" s="3" t="n"/>
      <c r="E9" s="3" t="n"/>
      <c r="F9" s="3" t="n"/>
      <c r="G9" s="3" t="n"/>
      <c r="H9" s="3" t="n"/>
      <c r="I9" s="3" t="n"/>
      <c r="J9" s="3">
        <f>IF(E9="","",WORKDAY(E9,3))</f>
        <v/>
      </c>
      <c r="K9" s="3">
        <f>IF(J9="","",WORKDAY(J9,5))</f>
        <v/>
      </c>
      <c r="L9" s="3">
        <f>IF(K9="","",WORKDAY(K9,7))</f>
        <v/>
      </c>
      <c r="M9" s="3" t="n"/>
    </row>
    <row r="10">
      <c r="A10" s="2" t="n">
        <v>9</v>
      </c>
      <c r="B10" s="2" t="n"/>
      <c r="C10" s="2" t="n"/>
      <c r="D10" s="2" t="n"/>
      <c r="E10" s="2" t="n"/>
      <c r="F10" s="2" t="n"/>
      <c r="G10" s="2" t="n"/>
      <c r="H10" s="2" t="n"/>
      <c r="I10" s="2" t="n"/>
      <c r="J10" s="2">
        <f>IF(E10="","",WORKDAY(E10,3))</f>
        <v/>
      </c>
      <c r="K10" s="2">
        <f>IF(J10="","",WORKDAY(J10,5))</f>
        <v/>
      </c>
      <c r="L10" s="2">
        <f>IF(K10="","",WORKDAY(K10,7))</f>
        <v/>
      </c>
      <c r="M10" s="2" t="n"/>
    </row>
    <row r="11">
      <c r="A11" s="3" t="n">
        <v>10</v>
      </c>
      <c r="B11" s="3" t="n"/>
      <c r="C11" s="3" t="n"/>
      <c r="D11" s="3" t="n"/>
      <c r="E11" s="3" t="n"/>
      <c r="F11" s="3" t="n"/>
      <c r="G11" s="3" t="n"/>
      <c r="H11" s="3" t="n"/>
      <c r="I11" s="3" t="n"/>
      <c r="J11" s="3">
        <f>IF(E11="","",WORKDAY(E11,3))</f>
        <v/>
      </c>
      <c r="K11" s="3">
        <f>IF(J11="","",WORKDAY(J11,5))</f>
        <v/>
      </c>
      <c r="L11" s="3">
        <f>IF(K11="","",WORKDAY(K11,7))</f>
        <v/>
      </c>
      <c r="M11" s="3" t="n"/>
    </row>
    <row r="12">
      <c r="A12" s="2" t="n">
        <v>11</v>
      </c>
      <c r="B12" s="2" t="n"/>
      <c r="C12" s="2" t="n"/>
      <c r="D12" s="2" t="n"/>
      <c r="E12" s="2" t="n"/>
      <c r="F12" s="2" t="n"/>
      <c r="G12" s="2" t="n"/>
      <c r="H12" s="2" t="n"/>
      <c r="I12" s="2" t="n"/>
      <c r="J12" s="2">
        <f>IF(E12="","",WORKDAY(E12,3))</f>
        <v/>
      </c>
      <c r="K12" s="2">
        <f>IF(J12="","",WORKDAY(J12,5))</f>
        <v/>
      </c>
      <c r="L12" s="2">
        <f>IF(K12="","",WORKDAY(K12,7))</f>
        <v/>
      </c>
      <c r="M12" s="2" t="n"/>
    </row>
    <row r="13">
      <c r="A13" s="3" t="n">
        <v>12</v>
      </c>
      <c r="B13" s="3" t="n"/>
      <c r="C13" s="3" t="n"/>
      <c r="D13" s="3" t="n"/>
      <c r="E13" s="3" t="n"/>
      <c r="F13" s="3" t="n"/>
      <c r="G13" s="3" t="n"/>
      <c r="H13" s="3" t="n"/>
      <c r="I13" s="3" t="n"/>
      <c r="J13" s="3">
        <f>IF(E13="","",WORKDAY(E13,3))</f>
        <v/>
      </c>
      <c r="K13" s="3">
        <f>IF(J13="","",WORKDAY(J13,5))</f>
        <v/>
      </c>
      <c r="L13" s="3">
        <f>IF(K13="","",WORKDAY(K13,7))</f>
        <v/>
      </c>
      <c r="M13" s="3" t="n"/>
    </row>
    <row r="14">
      <c r="A14" s="2" t="n">
        <v>13</v>
      </c>
      <c r="B14" s="2" t="n"/>
      <c r="C14" s="2" t="n"/>
      <c r="D14" s="2" t="n"/>
      <c r="E14" s="2" t="n"/>
      <c r="F14" s="2" t="n"/>
      <c r="G14" s="2" t="n"/>
      <c r="H14" s="2" t="n"/>
      <c r="I14" s="2" t="n"/>
      <c r="J14" s="2">
        <f>IF(E14="","",WORKDAY(E14,3))</f>
        <v/>
      </c>
      <c r="K14" s="2">
        <f>IF(J14="","",WORKDAY(J14,5))</f>
        <v/>
      </c>
      <c r="L14" s="2">
        <f>IF(K14="","",WORKDAY(K14,7))</f>
        <v/>
      </c>
      <c r="M14" s="2" t="n"/>
    </row>
    <row r="15">
      <c r="A15" s="3" t="n">
        <v>14</v>
      </c>
      <c r="B15" s="3" t="n"/>
      <c r="C15" s="3" t="n"/>
      <c r="D15" s="3" t="n"/>
      <c r="E15" s="3" t="n"/>
      <c r="F15" s="3" t="n"/>
      <c r="G15" s="3" t="n"/>
      <c r="H15" s="3" t="n"/>
      <c r="I15" s="3" t="n"/>
      <c r="J15" s="3">
        <f>IF(E15="","",WORKDAY(E15,3))</f>
        <v/>
      </c>
      <c r="K15" s="3">
        <f>IF(J15="","",WORKDAY(J15,5))</f>
        <v/>
      </c>
      <c r="L15" s="3">
        <f>IF(K15="","",WORKDAY(K15,7))</f>
        <v/>
      </c>
      <c r="M15" s="3" t="n"/>
    </row>
    <row r="16">
      <c r="A16" s="2" t="n">
        <v>15</v>
      </c>
      <c r="B16" s="2" t="n"/>
      <c r="C16" s="2" t="n"/>
      <c r="D16" s="2" t="n"/>
      <c r="E16" s="2" t="n"/>
      <c r="F16" s="2" t="n"/>
      <c r="G16" s="2" t="n"/>
      <c r="H16" s="2" t="n"/>
      <c r="I16" s="2" t="n"/>
      <c r="J16" s="2">
        <f>IF(E16="","",WORKDAY(E16,3))</f>
        <v/>
      </c>
      <c r="K16" s="2">
        <f>IF(J16="","",WORKDAY(J16,5))</f>
        <v/>
      </c>
      <c r="L16" s="2">
        <f>IF(K16="","",WORKDAY(K16,7))</f>
        <v/>
      </c>
      <c r="M16" s="2" t="n"/>
    </row>
    <row r="17">
      <c r="A17" s="3" t="n">
        <v>16</v>
      </c>
      <c r="B17" s="3" t="n"/>
      <c r="C17" s="3" t="n"/>
      <c r="D17" s="3" t="n"/>
      <c r="E17" s="3" t="n"/>
      <c r="F17" s="3" t="n"/>
      <c r="G17" s="3" t="n"/>
      <c r="H17" s="3" t="n"/>
      <c r="I17" s="3" t="n"/>
      <c r="J17" s="3">
        <f>IF(E17="","",WORKDAY(E17,3))</f>
        <v/>
      </c>
      <c r="K17" s="3">
        <f>IF(J17="","",WORKDAY(J17,5))</f>
        <v/>
      </c>
      <c r="L17" s="3">
        <f>IF(K17="","",WORKDAY(K17,7))</f>
        <v/>
      </c>
      <c r="M17" s="3" t="n"/>
    </row>
    <row r="18">
      <c r="A18" s="2" t="n">
        <v>17</v>
      </c>
      <c r="B18" s="2" t="n"/>
      <c r="C18" s="2" t="n"/>
      <c r="D18" s="2" t="n"/>
      <c r="E18" s="2" t="n"/>
      <c r="F18" s="2" t="n"/>
      <c r="G18" s="2" t="n"/>
      <c r="H18" s="2" t="n"/>
      <c r="I18" s="2" t="n"/>
      <c r="J18" s="2">
        <f>IF(E18="","",WORKDAY(E18,3))</f>
        <v/>
      </c>
      <c r="K18" s="2">
        <f>IF(J18="","",WORKDAY(J18,5))</f>
        <v/>
      </c>
      <c r="L18" s="2">
        <f>IF(K18="","",WORKDAY(K18,7))</f>
        <v/>
      </c>
      <c r="M18" s="2" t="n"/>
    </row>
    <row r="19">
      <c r="A19" s="3" t="n">
        <v>18</v>
      </c>
      <c r="B19" s="3" t="n"/>
      <c r="C19" s="3" t="n"/>
      <c r="D19" s="3" t="n"/>
      <c r="E19" s="3" t="n"/>
      <c r="F19" s="3" t="n"/>
      <c r="G19" s="3" t="n"/>
      <c r="H19" s="3" t="n"/>
      <c r="I19" s="3" t="n"/>
      <c r="J19" s="3">
        <f>IF(E19="","",WORKDAY(E19,3))</f>
        <v/>
      </c>
      <c r="K19" s="3">
        <f>IF(J19="","",WORKDAY(J19,5))</f>
        <v/>
      </c>
      <c r="L19" s="3">
        <f>IF(K19="","",WORKDAY(K19,7))</f>
        <v/>
      </c>
      <c r="M19" s="3" t="n"/>
    </row>
    <row r="20">
      <c r="A20" s="2" t="n">
        <v>19</v>
      </c>
      <c r="B20" s="2" t="n"/>
      <c r="C20" s="2" t="n"/>
      <c r="D20" s="2" t="n"/>
      <c r="E20" s="2" t="n"/>
      <c r="F20" s="2" t="n"/>
      <c r="G20" s="2" t="n"/>
      <c r="H20" s="2" t="n"/>
      <c r="I20" s="2" t="n"/>
      <c r="J20" s="2">
        <f>IF(E20="","",WORKDAY(E20,3))</f>
        <v/>
      </c>
      <c r="K20" s="2">
        <f>IF(J20="","",WORKDAY(J20,5))</f>
        <v/>
      </c>
      <c r="L20" s="2">
        <f>IF(K20="","",WORKDAY(K20,7))</f>
        <v/>
      </c>
      <c r="M20" s="2" t="n"/>
    </row>
    <row r="21">
      <c r="A21" s="3" t="n">
        <v>20</v>
      </c>
      <c r="B21" s="3" t="n"/>
      <c r="C21" s="3" t="n"/>
      <c r="D21" s="3" t="n"/>
      <c r="E21" s="3" t="n"/>
      <c r="F21" s="3" t="n"/>
      <c r="G21" s="3" t="n"/>
      <c r="H21" s="3" t="n"/>
      <c r="I21" s="3" t="n"/>
      <c r="J21" s="3">
        <f>IF(E21="","",WORKDAY(E21,3))</f>
        <v/>
      </c>
      <c r="K21" s="3">
        <f>IF(J21="","",WORKDAY(J21,5))</f>
        <v/>
      </c>
      <c r="L21" s="3">
        <f>IF(K21="","",WORKDAY(K21,7))</f>
        <v/>
      </c>
      <c r="M21" s="3" t="n"/>
    </row>
    <row r="22">
      <c r="A22" s="2" t="n">
        <v>21</v>
      </c>
      <c r="B22" s="2" t="n"/>
      <c r="C22" s="2" t="n"/>
      <c r="D22" s="2" t="n"/>
      <c r="E22" s="2" t="n"/>
      <c r="F22" s="2" t="n"/>
      <c r="G22" s="2" t="n"/>
      <c r="H22" s="2" t="n"/>
      <c r="I22" s="2" t="n"/>
      <c r="J22" s="2">
        <f>IF(E22="","",WORKDAY(E22,3))</f>
        <v/>
      </c>
      <c r="K22" s="2">
        <f>IF(J22="","",WORKDAY(J22,5))</f>
        <v/>
      </c>
      <c r="L22" s="2">
        <f>IF(K22="","",WORKDAY(K22,7))</f>
        <v/>
      </c>
      <c r="M22" s="2" t="n"/>
    </row>
    <row r="23">
      <c r="A23" s="3" t="n">
        <v>22</v>
      </c>
      <c r="B23" s="3" t="n"/>
      <c r="C23" s="3" t="n"/>
      <c r="D23" s="3" t="n"/>
      <c r="E23" s="3" t="n"/>
      <c r="F23" s="3" t="n"/>
      <c r="G23" s="3" t="n"/>
      <c r="H23" s="3" t="n"/>
      <c r="I23" s="3" t="n"/>
      <c r="J23" s="3">
        <f>IF(E23="","",WORKDAY(E23,3))</f>
        <v/>
      </c>
      <c r="K23" s="3">
        <f>IF(J23="","",WORKDAY(J23,5))</f>
        <v/>
      </c>
      <c r="L23" s="3">
        <f>IF(K23="","",WORKDAY(K23,7))</f>
        <v/>
      </c>
      <c r="M23" s="3" t="n"/>
    </row>
    <row r="24">
      <c r="A24" s="2" t="n">
        <v>23</v>
      </c>
      <c r="B24" s="2" t="n"/>
      <c r="C24" s="2" t="n"/>
      <c r="D24" s="2" t="n"/>
      <c r="E24" s="2" t="n"/>
      <c r="F24" s="2" t="n"/>
      <c r="G24" s="2" t="n"/>
      <c r="H24" s="2" t="n"/>
      <c r="I24" s="2" t="n"/>
      <c r="J24" s="2">
        <f>IF(E24="","",WORKDAY(E24,3))</f>
        <v/>
      </c>
      <c r="K24" s="2">
        <f>IF(J24="","",WORKDAY(J24,5))</f>
        <v/>
      </c>
      <c r="L24" s="2">
        <f>IF(K24="","",WORKDAY(K24,7))</f>
        <v/>
      </c>
      <c r="M24" s="2" t="n"/>
    </row>
    <row r="25">
      <c r="A25" s="3" t="n">
        <v>24</v>
      </c>
      <c r="B25" s="3" t="n"/>
      <c r="C25" s="3" t="n"/>
      <c r="D25" s="3" t="n"/>
      <c r="E25" s="3" t="n"/>
      <c r="F25" s="3" t="n"/>
      <c r="G25" s="3" t="n"/>
      <c r="H25" s="3" t="n"/>
      <c r="I25" s="3" t="n"/>
      <c r="J25" s="3">
        <f>IF(E25="","",WORKDAY(E25,3))</f>
        <v/>
      </c>
      <c r="K25" s="3">
        <f>IF(J25="","",WORKDAY(J25,5))</f>
        <v/>
      </c>
      <c r="L25" s="3">
        <f>IF(K25="","",WORKDAY(K25,7))</f>
        <v/>
      </c>
      <c r="M25" s="3" t="n"/>
    </row>
    <row r="26">
      <c r="A26" s="2" t="n">
        <v>25</v>
      </c>
      <c r="B26" s="2" t="n"/>
      <c r="C26" s="2" t="n"/>
      <c r="D26" s="2" t="n"/>
      <c r="E26" s="2" t="n"/>
      <c r="F26" s="2" t="n"/>
      <c r="G26" s="2" t="n"/>
      <c r="H26" s="2" t="n"/>
      <c r="I26" s="2" t="n"/>
      <c r="J26" s="2">
        <f>IF(E26="","",WORKDAY(E26,3))</f>
        <v/>
      </c>
      <c r="K26" s="2">
        <f>IF(J26="","",WORKDAY(J26,5))</f>
        <v/>
      </c>
      <c r="L26" s="2">
        <f>IF(K26="","",WORKDAY(K26,7))</f>
        <v/>
      </c>
      <c r="M26" s="2" t="n"/>
    </row>
    <row r="27">
      <c r="A27" s="3" t="n">
        <v>26</v>
      </c>
      <c r="B27" s="3" t="n"/>
      <c r="C27" s="3" t="n"/>
      <c r="D27" s="3" t="n"/>
      <c r="E27" s="3" t="n"/>
      <c r="F27" s="3" t="n"/>
      <c r="G27" s="3" t="n"/>
      <c r="H27" s="3" t="n"/>
      <c r="I27" s="3" t="n"/>
      <c r="J27" s="3">
        <f>IF(E27="","",WORKDAY(E27,3))</f>
        <v/>
      </c>
      <c r="K27" s="3">
        <f>IF(J27="","",WORKDAY(J27,5))</f>
        <v/>
      </c>
      <c r="L27" s="3">
        <f>IF(K27="","",WORKDAY(K27,7))</f>
        <v/>
      </c>
      <c r="M27" s="3" t="n"/>
    </row>
    <row r="28">
      <c r="A28" s="2" t="n">
        <v>27</v>
      </c>
      <c r="B28" s="2" t="n"/>
      <c r="C28" s="2" t="n"/>
      <c r="D28" s="2" t="n"/>
      <c r="E28" s="2" t="n"/>
      <c r="F28" s="2" t="n"/>
      <c r="G28" s="2" t="n"/>
      <c r="H28" s="2" t="n"/>
      <c r="I28" s="2" t="n"/>
      <c r="J28" s="2">
        <f>IF(E28="","",WORKDAY(E28,3))</f>
        <v/>
      </c>
      <c r="K28" s="2">
        <f>IF(J28="","",WORKDAY(J28,5))</f>
        <v/>
      </c>
      <c r="L28" s="2">
        <f>IF(K28="","",WORKDAY(K28,7))</f>
        <v/>
      </c>
      <c r="M28" s="2" t="n"/>
    </row>
    <row r="29">
      <c r="A29" s="3" t="n">
        <v>28</v>
      </c>
      <c r="B29" s="3" t="n"/>
      <c r="C29" s="3" t="n"/>
      <c r="D29" s="3" t="n"/>
      <c r="E29" s="3" t="n"/>
      <c r="F29" s="3" t="n"/>
      <c r="G29" s="3" t="n"/>
      <c r="H29" s="3" t="n"/>
      <c r="I29" s="3" t="n"/>
      <c r="J29" s="3">
        <f>IF(E29="","",WORKDAY(E29,3))</f>
        <v/>
      </c>
      <c r="K29" s="3">
        <f>IF(J29="","",WORKDAY(J29,5))</f>
        <v/>
      </c>
      <c r="L29" s="3">
        <f>IF(K29="","",WORKDAY(K29,7))</f>
        <v/>
      </c>
      <c r="M29" s="3" t="n"/>
    </row>
    <row r="30">
      <c r="A30" s="2" t="n">
        <v>29</v>
      </c>
      <c r="B30" s="2" t="n"/>
      <c r="C30" s="2" t="n"/>
      <c r="D30" s="2" t="n"/>
      <c r="E30" s="2" t="n"/>
      <c r="F30" s="2" t="n"/>
      <c r="G30" s="2" t="n"/>
      <c r="H30" s="2" t="n"/>
      <c r="I30" s="2" t="n"/>
      <c r="J30" s="2">
        <f>IF(E30="","",WORKDAY(E30,3))</f>
        <v/>
      </c>
      <c r="K30" s="2">
        <f>IF(J30="","",WORKDAY(J30,5))</f>
        <v/>
      </c>
      <c r="L30" s="2">
        <f>IF(K30="","",WORKDAY(K30,7))</f>
        <v/>
      </c>
      <c r="M30" s="2" t="n"/>
    </row>
    <row r="31">
      <c r="A31" s="3" t="n">
        <v>30</v>
      </c>
      <c r="B31" s="3" t="n"/>
      <c r="C31" s="3" t="n"/>
      <c r="D31" s="3" t="n"/>
      <c r="E31" s="3" t="n"/>
      <c r="F31" s="3" t="n"/>
      <c r="G31" s="3" t="n"/>
      <c r="H31" s="3" t="n"/>
      <c r="I31" s="3" t="n"/>
      <c r="J31" s="3">
        <f>IF(E31="","",WORKDAY(E31,3))</f>
        <v/>
      </c>
      <c r="K31" s="3">
        <f>IF(J31="","",WORKDAY(J31,5))</f>
        <v/>
      </c>
      <c r="L31" s="3">
        <f>IF(K31="","",WORKDAY(K31,7))</f>
        <v/>
      </c>
      <c r="M31" s="3" t="n"/>
    </row>
    <row r="32">
      <c r="A32" s="2" t="n"/>
      <c r="B32" s="2" t="n"/>
      <c r="C32" s="2" t="n"/>
      <c r="D32" s="2" t="n"/>
      <c r="E32" s="2" t="n"/>
      <c r="F32" s="2" t="n"/>
      <c r="G32" s="2" t="n"/>
      <c r="H32" s="2" t="n"/>
      <c r="I32" s="2" t="n"/>
      <c r="J32" s="2" t="n"/>
      <c r="K32" s="2" t="n"/>
      <c r="L32" s="2" t="n"/>
      <c r="M32" s="2" t="n"/>
    </row>
  </sheetData>
  <autoFilter ref="A1:M1"/>
  <conditionalFormatting sqref="M2:M32">
    <cfRule type="cellIs" priority="1" operator="equal" dxfId="1">
      <formula>"Replied"</formula>
    </cfRule>
    <cfRule type="cellIs" priority="2" operator="equal" dxfId="0">
      <formula>"Opted Out"</formula>
    </cfRule>
    <cfRule type="cellIs" priority="3" operator="equal" dxfId="0">
      <formula>"Bounced"</formula>
    </cfRule>
  </conditionalFormatting>
  <dataValidations count="2">
    <dataValidation sqref="F2:F32 G2:G32 H2:H32" showDropDown="0" showInputMessage="0" showErrorMessage="0" allowBlank="1" type="list">
      <formula1>"Yes,No"</formula1>
    </dataValidation>
    <dataValidation sqref="M2:M32" showDropDown="0" showInputMessage="0" showErrorMessage="0" allowBlank="1" errorTitle="Invalid Status" error="Please select a value from the dropdown." type="list">
      <formula1>"Awaiting Reply,Replied,Opted Out,Bounced"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2"/>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28" customWidth="1" min="3" max="3"/>
    <col width="16" customWidth="1" min="4" max="4"/>
    <col width="14" customWidth="1" min="5" max="5"/>
    <col width="12" customWidth="1" min="6" max="6"/>
    <col width="14" customWidth="1" min="7" max="7"/>
    <col width="18" customWidth="1" min="8" max="8"/>
    <col width="40" customWidth="1" min="9" max="9"/>
    <col width="36" customWidth="1" min="10" max="10"/>
    <col width="16" customWidth="1" min="11" max="11"/>
  </cols>
  <sheetData>
    <row r="1">
      <c r="A1" s="1" t="inlineStr">
        <is>
          <t>Lead ID</t>
        </is>
      </c>
      <c r="B1" s="1" t="inlineStr">
        <is>
          <t>Contact Name</t>
        </is>
      </c>
      <c r="C1" s="1" t="inlineStr">
        <is>
          <t>Company</t>
        </is>
      </c>
      <c r="D1" s="1" t="inlineStr">
        <is>
          <t>Phone Number</t>
        </is>
      </c>
      <c r="E1" s="1" t="inlineStr">
        <is>
          <t>Call Date</t>
        </is>
      </c>
      <c r="F1" s="1" t="inlineStr">
        <is>
          <t>Call Time</t>
        </is>
      </c>
      <c r="G1" s="1" t="inlineStr">
        <is>
          <t>Connected?</t>
        </is>
      </c>
      <c r="H1" s="1" t="inlineStr">
        <is>
          <t>Call Outcome</t>
        </is>
      </c>
      <c r="I1" s="1" t="inlineStr">
        <is>
          <t>Notes from Call</t>
        </is>
      </c>
      <c r="J1" s="1" t="inlineStr">
        <is>
          <t>Follow-up Task</t>
        </is>
      </c>
      <c r="K1" s="1" t="inlineStr">
        <is>
          <t>Follow-up Date</t>
        </is>
      </c>
    </row>
    <row r="2">
      <c r="A2" s="2" t="n">
        <v>1</v>
      </c>
      <c r="B2" s="2" t="n"/>
      <c r="C2" s="2" t="n"/>
      <c r="D2" s="2" t="n"/>
      <c r="E2" s="2" t="n"/>
      <c r="F2" s="2" t="n"/>
      <c r="G2" s="2" t="n"/>
      <c r="H2" s="2" t="n"/>
      <c r="I2" s="2" t="n"/>
      <c r="J2" s="2" t="n"/>
      <c r="K2" s="2" t="n"/>
    </row>
    <row r="3">
      <c r="A3" s="3" t="n">
        <v>2</v>
      </c>
      <c r="B3" s="3" t="n"/>
      <c r="C3" s="3" t="n"/>
      <c r="D3" s="3" t="n"/>
      <c r="E3" s="3" t="n"/>
      <c r="F3" s="3" t="n"/>
      <c r="G3" s="3" t="n"/>
      <c r="H3" s="3" t="n"/>
      <c r="I3" s="3" t="n"/>
      <c r="J3" s="3" t="n"/>
      <c r="K3" s="3" t="n"/>
    </row>
    <row r="4">
      <c r="A4" s="2" t="n">
        <v>3</v>
      </c>
      <c r="B4" s="2" t="n"/>
      <c r="C4" s="2" t="n"/>
      <c r="D4" s="2" t="n"/>
      <c r="E4" s="2" t="n"/>
      <c r="F4" s="2" t="n"/>
      <c r="G4" s="2" t="n"/>
      <c r="H4" s="2" t="n"/>
      <c r="I4" s="2" t="n"/>
      <c r="J4" s="2" t="n"/>
      <c r="K4" s="2" t="n"/>
    </row>
    <row r="5">
      <c r="A5" s="3" t="n">
        <v>4</v>
      </c>
      <c r="B5" s="3" t="n"/>
      <c r="C5" s="3" t="n"/>
      <c r="D5" s="3" t="n"/>
      <c r="E5" s="3" t="n"/>
      <c r="F5" s="3" t="n"/>
      <c r="G5" s="3" t="n"/>
      <c r="H5" s="3" t="n"/>
      <c r="I5" s="3" t="n"/>
      <c r="J5" s="3" t="n"/>
      <c r="K5" s="3" t="n"/>
    </row>
    <row r="6">
      <c r="A6" s="2" t="n">
        <v>5</v>
      </c>
      <c r="B6" s="2" t="n"/>
      <c r="C6" s="2" t="n"/>
      <c r="D6" s="2" t="n"/>
      <c r="E6" s="2" t="n"/>
      <c r="F6" s="2" t="n"/>
      <c r="G6" s="2" t="n"/>
      <c r="H6" s="2" t="n"/>
      <c r="I6" s="2" t="n"/>
      <c r="J6" s="2" t="n"/>
      <c r="K6" s="2" t="n"/>
    </row>
    <row r="7">
      <c r="A7" s="3" t="n">
        <v>6</v>
      </c>
      <c r="B7" s="3" t="n"/>
      <c r="C7" s="3" t="n"/>
      <c r="D7" s="3" t="n"/>
      <c r="E7" s="3" t="n"/>
      <c r="F7" s="3" t="n"/>
      <c r="G7" s="3" t="n"/>
      <c r="H7" s="3" t="n"/>
      <c r="I7" s="3" t="n"/>
      <c r="J7" s="3" t="n"/>
      <c r="K7" s="3" t="n"/>
    </row>
    <row r="8">
      <c r="A8" s="2" t="n">
        <v>7</v>
      </c>
      <c r="B8" s="2" t="n"/>
      <c r="C8" s="2" t="n"/>
      <c r="D8" s="2" t="n"/>
      <c r="E8" s="2" t="n"/>
      <c r="F8" s="2" t="n"/>
      <c r="G8" s="2" t="n"/>
      <c r="H8" s="2" t="n"/>
      <c r="I8" s="2" t="n"/>
      <c r="J8" s="2" t="n"/>
      <c r="K8" s="2" t="n"/>
    </row>
    <row r="9">
      <c r="A9" s="3" t="n">
        <v>8</v>
      </c>
      <c r="B9" s="3" t="n"/>
      <c r="C9" s="3" t="n"/>
      <c r="D9" s="3" t="n"/>
      <c r="E9" s="3" t="n"/>
      <c r="F9" s="3" t="n"/>
      <c r="G9" s="3" t="n"/>
      <c r="H9" s="3" t="n"/>
      <c r="I9" s="3" t="n"/>
      <c r="J9" s="3" t="n"/>
      <c r="K9" s="3" t="n"/>
    </row>
    <row r="10">
      <c r="A10" s="2" t="n">
        <v>9</v>
      </c>
      <c r="B10" s="2" t="n"/>
      <c r="C10" s="2" t="n"/>
      <c r="D10" s="2" t="n"/>
      <c r="E10" s="2" t="n"/>
      <c r="F10" s="2" t="n"/>
      <c r="G10" s="2" t="n"/>
      <c r="H10" s="2" t="n"/>
      <c r="I10" s="2" t="n"/>
      <c r="J10" s="2" t="n"/>
      <c r="K10" s="2" t="n"/>
    </row>
    <row r="11">
      <c r="A11" s="3" t="n">
        <v>10</v>
      </c>
      <c r="B11" s="3" t="n"/>
      <c r="C11" s="3" t="n"/>
      <c r="D11" s="3" t="n"/>
      <c r="E11" s="3" t="n"/>
      <c r="F11" s="3" t="n"/>
      <c r="G11" s="3" t="n"/>
      <c r="H11" s="3" t="n"/>
      <c r="I11" s="3" t="n"/>
      <c r="J11" s="3" t="n"/>
      <c r="K11" s="3" t="n"/>
    </row>
    <row r="12">
      <c r="A12" s="2" t="n">
        <v>11</v>
      </c>
      <c r="B12" s="2" t="n"/>
      <c r="C12" s="2" t="n"/>
      <c r="D12" s="2" t="n"/>
      <c r="E12" s="2" t="n"/>
      <c r="F12" s="2" t="n"/>
      <c r="G12" s="2" t="n"/>
      <c r="H12" s="2" t="n"/>
      <c r="I12" s="2" t="n"/>
      <c r="J12" s="2" t="n"/>
      <c r="K12" s="2" t="n"/>
    </row>
    <row r="13">
      <c r="A13" s="3" t="n">
        <v>12</v>
      </c>
      <c r="B13" s="3" t="n"/>
      <c r="C13" s="3" t="n"/>
      <c r="D13" s="3" t="n"/>
      <c r="E13" s="3" t="n"/>
      <c r="F13" s="3" t="n"/>
      <c r="G13" s="3" t="n"/>
      <c r="H13" s="3" t="n"/>
      <c r="I13" s="3" t="n"/>
      <c r="J13" s="3" t="n"/>
      <c r="K13" s="3" t="n"/>
    </row>
    <row r="14">
      <c r="A14" s="2" t="n">
        <v>13</v>
      </c>
      <c r="B14" s="2" t="n"/>
      <c r="C14" s="2" t="n"/>
      <c r="D14" s="2" t="n"/>
      <c r="E14" s="2" t="n"/>
      <c r="F14" s="2" t="n"/>
      <c r="G14" s="2" t="n"/>
      <c r="H14" s="2" t="n"/>
      <c r="I14" s="2" t="n"/>
      <c r="J14" s="2" t="n"/>
      <c r="K14" s="2" t="n"/>
    </row>
    <row r="15">
      <c r="A15" s="3" t="n">
        <v>14</v>
      </c>
      <c r="B15" s="3" t="n"/>
      <c r="C15" s="3" t="n"/>
      <c r="D15" s="3" t="n"/>
      <c r="E15" s="3" t="n"/>
      <c r="F15" s="3" t="n"/>
      <c r="G15" s="3" t="n"/>
      <c r="H15" s="3" t="n"/>
      <c r="I15" s="3" t="n"/>
      <c r="J15" s="3" t="n"/>
      <c r="K15" s="3" t="n"/>
    </row>
    <row r="16">
      <c r="A16" s="2" t="n">
        <v>15</v>
      </c>
      <c r="B16" s="2" t="n"/>
      <c r="C16" s="2" t="n"/>
      <c r="D16" s="2" t="n"/>
      <c r="E16" s="2" t="n"/>
      <c r="F16" s="2" t="n"/>
      <c r="G16" s="2" t="n"/>
      <c r="H16" s="2" t="n"/>
      <c r="I16" s="2" t="n"/>
      <c r="J16" s="2" t="n"/>
      <c r="K16" s="2" t="n"/>
    </row>
    <row r="17">
      <c r="A17" s="3" t="n">
        <v>16</v>
      </c>
      <c r="B17" s="3" t="n"/>
      <c r="C17" s="3" t="n"/>
      <c r="D17" s="3" t="n"/>
      <c r="E17" s="3" t="n"/>
      <c r="F17" s="3" t="n"/>
      <c r="G17" s="3" t="n"/>
      <c r="H17" s="3" t="n"/>
      <c r="I17" s="3" t="n"/>
      <c r="J17" s="3" t="n"/>
      <c r="K17" s="3" t="n"/>
    </row>
    <row r="18">
      <c r="A18" s="2" t="n">
        <v>17</v>
      </c>
      <c r="B18" s="2" t="n"/>
      <c r="C18" s="2" t="n"/>
      <c r="D18" s="2" t="n"/>
      <c r="E18" s="2" t="n"/>
      <c r="F18" s="2" t="n"/>
      <c r="G18" s="2" t="n"/>
      <c r="H18" s="2" t="n"/>
      <c r="I18" s="2" t="n"/>
      <c r="J18" s="2" t="n"/>
      <c r="K18" s="2" t="n"/>
    </row>
    <row r="19">
      <c r="A19" s="3" t="n">
        <v>18</v>
      </c>
      <c r="B19" s="3" t="n"/>
      <c r="C19" s="3" t="n"/>
      <c r="D19" s="3" t="n"/>
      <c r="E19" s="3" t="n"/>
      <c r="F19" s="3" t="n"/>
      <c r="G19" s="3" t="n"/>
      <c r="H19" s="3" t="n"/>
      <c r="I19" s="3" t="n"/>
      <c r="J19" s="3" t="n"/>
      <c r="K19" s="3" t="n"/>
    </row>
    <row r="20">
      <c r="A20" s="2" t="n">
        <v>19</v>
      </c>
      <c r="B20" s="2" t="n"/>
      <c r="C20" s="2" t="n"/>
      <c r="D20" s="2" t="n"/>
      <c r="E20" s="2" t="n"/>
      <c r="F20" s="2" t="n"/>
      <c r="G20" s="2" t="n"/>
      <c r="H20" s="2" t="n"/>
      <c r="I20" s="2" t="n"/>
      <c r="J20" s="2" t="n"/>
      <c r="K20" s="2" t="n"/>
    </row>
    <row r="21">
      <c r="A21" s="3" t="n">
        <v>20</v>
      </c>
      <c r="B21" s="3" t="n"/>
      <c r="C21" s="3" t="n"/>
      <c r="D21" s="3" t="n"/>
      <c r="E21" s="3" t="n"/>
      <c r="F21" s="3" t="n"/>
      <c r="G21" s="3" t="n"/>
      <c r="H21" s="3" t="n"/>
      <c r="I21" s="3" t="n"/>
      <c r="J21" s="3" t="n"/>
      <c r="K21" s="3" t="n"/>
    </row>
    <row r="22">
      <c r="A22" s="2" t="n">
        <v>21</v>
      </c>
      <c r="B22" s="2" t="n"/>
      <c r="C22" s="2" t="n"/>
      <c r="D22" s="2" t="n"/>
      <c r="E22" s="2" t="n"/>
      <c r="F22" s="2" t="n"/>
      <c r="G22" s="2" t="n"/>
      <c r="H22" s="2" t="n"/>
      <c r="I22" s="2" t="n"/>
      <c r="J22" s="2" t="n"/>
      <c r="K22" s="2" t="n"/>
    </row>
    <row r="23">
      <c r="A23" s="3" t="n">
        <v>22</v>
      </c>
      <c r="B23" s="3" t="n"/>
      <c r="C23" s="3" t="n"/>
      <c r="D23" s="3" t="n"/>
      <c r="E23" s="3" t="n"/>
      <c r="F23" s="3" t="n"/>
      <c r="G23" s="3" t="n"/>
      <c r="H23" s="3" t="n"/>
      <c r="I23" s="3" t="n"/>
      <c r="J23" s="3" t="n"/>
      <c r="K23" s="3" t="n"/>
    </row>
    <row r="24">
      <c r="A24" s="2" t="n">
        <v>23</v>
      </c>
      <c r="B24" s="2" t="n"/>
      <c r="C24" s="2" t="n"/>
      <c r="D24" s="2" t="n"/>
      <c r="E24" s="2" t="n"/>
      <c r="F24" s="2" t="n"/>
      <c r="G24" s="2" t="n"/>
      <c r="H24" s="2" t="n"/>
      <c r="I24" s="2" t="n"/>
      <c r="J24" s="2" t="n"/>
      <c r="K24" s="2" t="n"/>
    </row>
    <row r="25">
      <c r="A25" s="3" t="n">
        <v>24</v>
      </c>
      <c r="B25" s="3" t="n"/>
      <c r="C25" s="3" t="n"/>
      <c r="D25" s="3" t="n"/>
      <c r="E25" s="3" t="n"/>
      <c r="F25" s="3" t="n"/>
      <c r="G25" s="3" t="n"/>
      <c r="H25" s="3" t="n"/>
      <c r="I25" s="3" t="n"/>
      <c r="J25" s="3" t="n"/>
      <c r="K25" s="3" t="n"/>
    </row>
    <row r="26">
      <c r="A26" s="2" t="n">
        <v>25</v>
      </c>
      <c r="B26" s="2" t="n"/>
      <c r="C26" s="2" t="n"/>
      <c r="D26" s="2" t="n"/>
      <c r="E26" s="2" t="n"/>
      <c r="F26" s="2" t="n"/>
      <c r="G26" s="2" t="n"/>
      <c r="H26" s="2" t="n"/>
      <c r="I26" s="2" t="n"/>
      <c r="J26" s="2" t="n"/>
      <c r="K26" s="2" t="n"/>
    </row>
    <row r="27">
      <c r="A27" s="3" t="n">
        <v>26</v>
      </c>
      <c r="B27" s="3" t="n"/>
      <c r="C27" s="3" t="n"/>
      <c r="D27" s="3" t="n"/>
      <c r="E27" s="3" t="n"/>
      <c r="F27" s="3" t="n"/>
      <c r="G27" s="3" t="n"/>
      <c r="H27" s="3" t="n"/>
      <c r="I27" s="3" t="n"/>
      <c r="J27" s="3" t="n"/>
      <c r="K27" s="3" t="n"/>
    </row>
    <row r="28">
      <c r="A28" s="2" t="n">
        <v>27</v>
      </c>
      <c r="B28" s="2" t="n"/>
      <c r="C28" s="2" t="n"/>
      <c r="D28" s="2" t="n"/>
      <c r="E28" s="2" t="n"/>
      <c r="F28" s="2" t="n"/>
      <c r="G28" s="2" t="n"/>
      <c r="H28" s="2" t="n"/>
      <c r="I28" s="2" t="n"/>
      <c r="J28" s="2" t="n"/>
      <c r="K28" s="2" t="n"/>
    </row>
    <row r="29">
      <c r="A29" s="3" t="n">
        <v>28</v>
      </c>
      <c r="B29" s="3" t="n"/>
      <c r="C29" s="3" t="n"/>
      <c r="D29" s="3" t="n"/>
      <c r="E29" s="3" t="n"/>
      <c r="F29" s="3" t="n"/>
      <c r="G29" s="3" t="n"/>
      <c r="H29" s="3" t="n"/>
      <c r="I29" s="3" t="n"/>
      <c r="J29" s="3" t="n"/>
      <c r="K29" s="3" t="n"/>
    </row>
    <row r="30">
      <c r="A30" s="2" t="n">
        <v>29</v>
      </c>
      <c r="B30" s="2" t="n"/>
      <c r="C30" s="2" t="n"/>
      <c r="D30" s="2" t="n"/>
      <c r="E30" s="2" t="n"/>
      <c r="F30" s="2" t="n"/>
      <c r="G30" s="2" t="n"/>
      <c r="H30" s="2" t="n"/>
      <c r="I30" s="2" t="n"/>
      <c r="J30" s="2" t="n"/>
      <c r="K30" s="2" t="n"/>
    </row>
    <row r="31">
      <c r="A31" s="3" t="n">
        <v>30</v>
      </c>
      <c r="B31" s="3" t="n"/>
      <c r="C31" s="3" t="n"/>
      <c r="D31" s="3" t="n"/>
      <c r="E31" s="3" t="n"/>
      <c r="F31" s="3" t="n"/>
      <c r="G31" s="3" t="n"/>
      <c r="H31" s="3" t="n"/>
      <c r="I31" s="3" t="n"/>
      <c r="J31" s="3" t="n"/>
      <c r="K31" s="3" t="n"/>
    </row>
    <row r="32">
      <c r="A32" s="2" t="n"/>
      <c r="B32" s="2" t="n"/>
      <c r="C32" s="2" t="n"/>
      <c r="D32" s="2" t="n"/>
      <c r="E32" s="2" t="n"/>
      <c r="F32" s="2" t="n"/>
      <c r="G32" s="2" t="n"/>
      <c r="H32" s="2" t="n"/>
      <c r="I32" s="2" t="n"/>
      <c r="J32" s="2" t="n"/>
      <c r="K32" s="2" t="n"/>
    </row>
  </sheetData>
  <autoFilter ref="A1:K1"/>
  <conditionalFormatting sqref="H2:H32">
    <cfRule type="cellIs" priority="1" operator="equal" dxfId="2">
      <formula>"Meeting Booked"</formula>
    </cfRule>
    <cfRule type="cellIs" priority="2" operator="equal" dxfId="0">
      <formula>"Not Interested"</formula>
    </cfRule>
    <cfRule type="cellIs" priority="3" operator="equal" dxfId="1">
      <formula>"Interested"</formula>
    </cfRule>
  </conditionalFormatting>
  <dataValidations count="2">
    <dataValidation sqref="G2:G32" showDropDown="0" showInputMessage="0" showErrorMessage="0" allowBlank="1" type="list">
      <formula1>"Yes,No,VM Left"</formula1>
    </dataValidation>
    <dataValidation sqref="H2:H32" showDropDown="0" showInputMessage="0" showErrorMessage="0" allowBlank="1" errorTitle="Invalid Status" error="Please select a value from the dropdown." type="list">
      <formula1>"No Answer,Wrong Number,Not Interested,Call Back Later,Interested,Meeting Booked"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s>
  <sheetData>
    <row r="1">
      <c r="A1" s="1" t="inlineStr">
        <is>
          <t>Metric</t>
        </is>
      </c>
      <c r="B1" s="1" t="inlineStr">
        <is>
          <t>Value</t>
        </is>
      </c>
    </row>
    <row r="2">
      <c r="A2" s="2" t="inlineStr">
        <is>
          <t>Total Leads</t>
        </is>
      </c>
      <c r="B2" s="2">
        <f>COUNTA('Lead List'!A2:A1001)</f>
        <v/>
      </c>
    </row>
    <row r="3">
      <c r="A3" s="3" t="inlineStr">
        <is>
          <t>Leads - New</t>
        </is>
      </c>
      <c r="B3" s="3">
        <f>COUNTIF('Lead List'!L2:L1001,"New")</f>
        <v/>
      </c>
    </row>
    <row r="4">
      <c r="A4" s="2" t="inlineStr">
        <is>
          <t>Leads - Emailed</t>
        </is>
      </c>
      <c r="B4" s="2">
        <f>COUNTIF('Lead List'!L2:L1001,"Emailed")</f>
        <v/>
      </c>
    </row>
    <row r="5">
      <c r="A5" s="3" t="inlineStr">
        <is>
          <t>Leads - Called</t>
        </is>
      </c>
      <c r="B5" s="3">
        <f>COUNTIF('Lead List'!L2:L1001,"Called")</f>
        <v/>
      </c>
    </row>
    <row r="6">
      <c r="A6" s="2" t="inlineStr">
        <is>
          <t>Leads - Replied</t>
        </is>
      </c>
      <c r="B6" s="2">
        <f>COUNTIF('Lead List'!L2:L1001,"Replied")</f>
        <v/>
      </c>
    </row>
    <row r="7">
      <c r="A7" s="3" t="inlineStr">
        <is>
          <t>Leads - Meeting Booked</t>
        </is>
      </c>
      <c r="B7" s="3">
        <f>COUNTIF('Lead List'!L2:L1001,"Meeting Booked")</f>
        <v/>
      </c>
    </row>
    <row r="8">
      <c r="A8" s="2" t="inlineStr">
        <is>
          <t>Leads - Quoted</t>
        </is>
      </c>
      <c r="B8" s="2">
        <f>COUNTIF('Lead List'!L2:L1001,"Quoted")</f>
        <v/>
      </c>
    </row>
    <row r="9">
      <c r="A9" s="3" t="inlineStr">
        <is>
          <t>Leads - Won</t>
        </is>
      </c>
      <c r="B9" s="3">
        <f>COUNTIF('Lead List'!L2:L1001,"Won")</f>
        <v/>
      </c>
    </row>
    <row r="10">
      <c r="A10" s="2" t="inlineStr">
        <is>
          <t>Leads - Lost</t>
        </is>
      </c>
      <c r="B10" s="2">
        <f>COUNTIF('Lead List'!L2:L1001,"Lost")</f>
        <v/>
      </c>
    </row>
    <row r="11">
      <c r="A11" s="3" t="inlineStr"/>
      <c r="B11" s="3" t="inlineStr"/>
    </row>
    <row r="12">
      <c r="A12" s="2" t="inlineStr">
        <is>
          <t>--- Campaign Metrics ---</t>
        </is>
      </c>
      <c r="B12" s="2" t="inlineStr"/>
    </row>
    <row r="13">
      <c r="A13" s="3" t="inlineStr">
        <is>
          <t>Emails Sent This Month</t>
        </is>
      </c>
      <c r="B13" s="3">
        <f>SUMPRODUCT((MONTH('Email Campaigns'!E2:E1001)=MONTH(TODAY()))*(YEAR('Email Campaigns'!E2:E1001)=YEAR(TODAY()))*(LEN('Email Campaigns'!E2:E1001)&gt;0))</f>
        <v/>
      </c>
    </row>
    <row r="14">
      <c r="A14" s="2" t="inlineStr">
        <is>
          <t>Open Rate %</t>
        </is>
      </c>
      <c r="B14" s="2">
        <f>IFERROR(SUMPRODUCT((MONTH('Email Campaigns'!E2:E1001)=MONTH(TODAY()))*('Email Campaigns'!F2:F1001="Yes"))/MAX(1,SUMPRODUCT((MONTH('Email Campaigns'!E2:E1001)=MONTH(TODAY()))*(LEN('Email Campaigns'!E2:E1001)&gt;0))),0)</f>
        <v/>
      </c>
    </row>
    <row r="15">
      <c r="A15" s="3" t="inlineStr">
        <is>
          <t>Reply Rate %</t>
        </is>
      </c>
      <c r="B15" s="3">
        <f>IFERROR(SUMPRODUCT((MONTH('Email Campaigns'!E2:E1001)=MONTH(TODAY()))*('Email Campaigns'!H2:H1001="Yes"))/MAX(1,SUMPRODUCT((MONTH('Email Campaigns'!E2:E1001)=MONTH(TODAY()))*(LEN('Email Campaigns'!E2:E1001)&gt;0))),0)</f>
        <v/>
      </c>
    </row>
    <row r="16">
      <c r="A16" s="2" t="inlineStr">
        <is>
          <t>Calls Made This Month</t>
        </is>
      </c>
      <c r="B16" s="2">
        <f>SUMPRODUCT((MONTH('Cold Calls'!E2:E1001)=MONTH(TODAY()))*(YEAR('Cold Calls'!E2:E1001)=YEAR(TODAY()))*(LEN('Cold Calls'!E2:E1001)&gt;0))</f>
        <v/>
      </c>
    </row>
    <row r="17">
      <c r="A17" s="3" t="inlineStr">
        <is>
          <t>Meetings Booked (Calls)</t>
        </is>
      </c>
      <c r="B17" s="3">
        <f>COUNTIF('Cold Calls'!H2:H1001,"Meeting Booked")</f>
        <v/>
      </c>
    </row>
    <row r="18">
      <c r="A18" s="2" t="inlineStr">
        <is>
          <t>Meetings Booked (All)</t>
        </is>
      </c>
      <c r="B18" s="2">
        <f>COUNTIF('Lead List'!L2:L1001,"Meeting Booked")</f>
        <v/>
      </c>
    </row>
    <row r="21">
      <c r="A21" s="4" t="inlineStr">
        <is>
          <t>--- Conversion Funnel ---</t>
        </is>
      </c>
    </row>
    <row r="22">
      <c r="A22" s="1" t="inlineStr">
        <is>
          <t>Stage</t>
        </is>
      </c>
      <c r="B22" s="1" t="inlineStr">
        <is>
          <t>Count</t>
        </is>
      </c>
    </row>
    <row r="23">
      <c r="A23" s="2" t="inlineStr">
        <is>
          <t>Total Leads</t>
        </is>
      </c>
      <c r="B23" s="2">
        <f>COUNTA('Lead List'!A2:A1001)</f>
        <v/>
      </c>
    </row>
    <row r="24">
      <c r="A24" s="3" t="inlineStr">
        <is>
          <t>Emailed</t>
        </is>
      </c>
      <c r="B24" s="3">
        <f>COUNTIF('Lead List'!L2:L1001,"Emailed")</f>
        <v/>
      </c>
    </row>
    <row r="25">
      <c r="A25" s="2" t="inlineStr">
        <is>
          <t>Replied</t>
        </is>
      </c>
      <c r="B25" s="2">
        <f>COUNTIF('Lead List'!L2:L1001,"Replied")</f>
        <v/>
      </c>
    </row>
    <row r="26">
      <c r="A26" s="3" t="inlineStr">
        <is>
          <t>Meeting Booked</t>
        </is>
      </c>
      <c r="B26" s="3">
        <f>COUNTIF('Lead List'!L2:L1001,"Meeting Booked")</f>
        <v/>
      </c>
    </row>
    <row r="27">
      <c r="A27" s="2" t="inlineStr">
        <is>
          <t>Quoted</t>
        </is>
      </c>
      <c r="B27" s="2">
        <f>COUNTIF('Lead List'!L2:L1001,"Quoted")</f>
        <v/>
      </c>
    </row>
    <row r="28">
      <c r="A28" s="3" t="inlineStr">
        <is>
          <t>Won</t>
        </is>
      </c>
      <c r="B28" s="3">
        <f>COUNTIF('Lead List'!L2:L1001,"Won")</f>
        <v/>
      </c>
    </row>
    <row r="31">
      <c r="A31" s="4" t="inlineStr">
        <is>
          <t>--- Top 10 Hottest Leads (by Stage) ---</t>
        </is>
      </c>
    </row>
    <row r="32">
      <c r="A32" s="1" t="inlineStr">
        <is>
          <t>Lead ID</t>
        </is>
      </c>
      <c r="B32" s="1" t="inlineStr">
        <is>
          <t>Company</t>
        </is>
      </c>
      <c r="C32" s="1" t="inlineStr">
        <is>
          <t>Contact</t>
        </is>
      </c>
      <c r="D32" s="1" t="inlineStr">
        <is>
          <t>Email</t>
        </is>
      </c>
      <c r="E32" s="1" t="inlineStr">
        <is>
          <t>Status</t>
        </is>
      </c>
      <c r="F32" s="1" t="inlineStr">
        <is>
          <t>Notes</t>
        </is>
      </c>
    </row>
    <row r="33">
      <c r="A33" s="2" t="inlineStr">
        <is>
          <t>(Sort Lead List by Status/Recency)</t>
        </is>
      </c>
      <c r="B33" s="2" t="n"/>
      <c r="C33" s="2" t="n"/>
      <c r="D33" s="2" t="n"/>
      <c r="E33" s="2" t="n"/>
      <c r="F33" s="2" t="n"/>
    </row>
    <row r="34">
      <c r="A34" s="3" t="inlineStr">
        <is>
          <t>(Sort Lead List by Status/Recency)</t>
        </is>
      </c>
      <c r="B34" s="3" t="n"/>
      <c r="C34" s="3" t="n"/>
      <c r="D34" s="3" t="n"/>
      <c r="E34" s="3" t="n"/>
      <c r="F34" s="3" t="n"/>
    </row>
    <row r="35">
      <c r="A35" s="2" t="inlineStr">
        <is>
          <t>(Sort Lead List by Status/Recency)</t>
        </is>
      </c>
      <c r="B35" s="2" t="n"/>
      <c r="C35" s="2" t="n"/>
      <c r="D35" s="2" t="n"/>
      <c r="E35" s="2" t="n"/>
      <c r="F35" s="2" t="n"/>
    </row>
    <row r="36">
      <c r="A36" s="3" t="inlineStr">
        <is>
          <t>(Sort Lead List by Status/Recency)</t>
        </is>
      </c>
      <c r="B36" s="3" t="n"/>
      <c r="C36" s="3" t="n"/>
      <c r="D36" s="3" t="n"/>
      <c r="E36" s="3" t="n"/>
      <c r="F36" s="3" t="n"/>
    </row>
    <row r="37">
      <c r="A37" s="2" t="inlineStr">
        <is>
          <t>(Sort Lead List by Status/Recency)</t>
        </is>
      </c>
      <c r="B37" s="2" t="n"/>
      <c r="C37" s="2" t="n"/>
      <c r="D37" s="2" t="n"/>
      <c r="E37" s="2" t="n"/>
      <c r="F37" s="2" t="n"/>
    </row>
    <row r="38">
      <c r="A38" s="3" t="inlineStr">
        <is>
          <t>(Sort Lead List by Status/Recency)</t>
        </is>
      </c>
      <c r="B38" s="3" t="n"/>
      <c r="C38" s="3" t="n"/>
      <c r="D38" s="3" t="n"/>
      <c r="E38" s="3" t="n"/>
      <c r="F38" s="3" t="n"/>
    </row>
    <row r="39">
      <c r="A39" s="2" t="inlineStr">
        <is>
          <t>(Sort Lead List by Status/Recency)</t>
        </is>
      </c>
      <c r="B39" s="2" t="n"/>
      <c r="C39" s="2" t="n"/>
      <c r="D39" s="2" t="n"/>
      <c r="E39" s="2" t="n"/>
      <c r="F39" s="2" t="n"/>
    </row>
    <row r="40">
      <c r="A40" s="3" t="inlineStr">
        <is>
          <t>(Sort Lead List by Status/Recency)</t>
        </is>
      </c>
      <c r="B40" s="3" t="n"/>
      <c r="C40" s="3" t="n"/>
      <c r="D40" s="3" t="n"/>
      <c r="E40" s="3" t="n"/>
      <c r="F40" s="3" t="n"/>
    </row>
    <row r="41">
      <c r="A41" s="2" t="inlineStr">
        <is>
          <t>(Sort Lead List by Status/Recency)</t>
        </is>
      </c>
      <c r="B41" s="2" t="n"/>
      <c r="C41" s="2" t="n"/>
      <c r="D41" s="2" t="n"/>
      <c r="E41" s="2" t="n"/>
      <c r="F41" s="2" t="n"/>
    </row>
    <row r="42">
      <c r="A42" s="3" t="inlineStr">
        <is>
          <t>(Sort Lead List by Status/Recency)</t>
        </is>
      </c>
      <c r="B42" s="3" t="n"/>
      <c r="C42" s="3" t="n"/>
      <c r="D42" s="3" t="n"/>
      <c r="E42" s="3" t="n"/>
      <c r="F42"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50" customWidth="1" min="3" max="3"/>
    <col width="80" customWidth="1" min="4" max="4"/>
  </cols>
  <sheetData>
    <row r="1">
      <c r="A1" s="1" t="inlineStr">
        <is>
          <t>Template #</t>
        </is>
      </c>
      <c r="B1" s="1" t="inlineStr">
        <is>
          <t>Template Name</t>
        </is>
      </c>
      <c r="C1" s="1" t="inlineStr">
        <is>
          <t>Subject Line</t>
        </is>
      </c>
      <c r="D1" s="1" t="inlineStr">
        <is>
          <t>Body</t>
        </is>
      </c>
    </row>
    <row r="2" ht="200" customHeight="1">
      <c r="A2" s="2" t="n">
        <v>1</v>
      </c>
      <c r="B2" s="2" t="inlineStr">
        <is>
          <t>Initial Outreach</t>
        </is>
      </c>
      <c r="C2" s="2" t="inlineStr">
        <is>
          <t>Sharp-Eye Precision Parts — supporting {{Company}}'s machining needs</t>
        </is>
      </c>
      <c r="D2" s="2" t="inlineStr">
        <is>
          <t>Hi {{FirstName}},
I'm August Cox, country manager at Sharp-Eye Precision Parts Co., Ltd. We specialize in CNC machining turned parts — swiss-type automatic lathe work is what we do best.
I've been looking at what {{Company}} does in the {{Industry}} space, and I think we could help keep your supply chain moving with consistent, high-quality parts.
Would you be open to a quick phone call this week to see if there's a fit?
Feel free to call me between the hours of 7am–11am EST if that's easier.
Thanks,
August Cox
+1 (513) 348-0483
Sharp-Eye Precision Parts Co., Ltd.</t>
        </is>
      </c>
    </row>
    <row r="3" ht="200" customHeight="1">
      <c r="A3" s="3" t="n">
        <v>2</v>
      </c>
      <c r="B3" s="3" t="inlineStr">
        <is>
          <t>Follow-up #1</t>
        </is>
      </c>
      <c r="C3" s="3" t="inlineStr">
        <is>
          <t>Re: Sharp-Eye Precision Parts — following up with {{Company}}</t>
        </is>
      </c>
      <c r="D3" s="3" t="inlineStr">
        <is>
          <t>Hi {{FirstName}},
I sent a note over a few days back and wanted to make sure it didn't get buried.
Sharp-Eye Precision Parts handles CNC turned parts at scale — swiss machining, tight tolerances, consistent output. We work with companies in {{Industry}} and I'd love to see if we can help {{Company}} the same way.
No pressure — if it's not a priority right now, just let me know. But if you've got 5 minutes this week, I'm happy to talk through what we do.
Please let me know if you have any questions.
Thanks,
August Cox
+1 (513) 348-0483
Sharp-Eye Precision Parts Co., Ltd.</t>
        </is>
      </c>
    </row>
    <row r="4" ht="200" customHeight="1">
      <c r="A4" s="2" t="n">
        <v>3</v>
      </c>
      <c r="B4" s="2" t="inlineStr">
        <is>
          <t>Breakup / Final Attempt</t>
        </is>
      </c>
      <c r="C4" s="2" t="inlineStr">
        <is>
          <t>Sharp-Eye Precision Parts — last note from me</t>
        </is>
      </c>
      <c r="D4" s="2" t="inlineStr">
        <is>
          <t>Hi {{FirstName}},
I've reached out a couple times and haven't heard back — totally understand, you're busy.
I'll leave you with this: if {{Company}} ever has a bottleneck on CNC turned parts — swiss machining, tight deadlines, finicky tolerances — we're here. Sharp-Eye has been solving those kinds of problems for a long time.
I won't fill up your inbox after this one. But if something changes on your end, you know where to find me.
Thanks,
August Cox
+1 (513) 348-0483
Sharp-Eye Precision Parts Co., Ltd.</t>
        </is>
      </c>
    </row>
    <row r="5" ht="200" customHeight="1">
      <c r="A5" s="3" t="n">
        <v>4</v>
      </c>
      <c r="B5" s="3" t="inlineStr">
        <is>
          <t>After Meeting</t>
        </is>
      </c>
      <c r="C5" s="3" t="inlineStr">
        <is>
          <t>Great speaking with you, {{FirstName}} — next steps</t>
        </is>
      </c>
      <c r="D5" s="3" t="inlineStr">
        <is>
          <t>Hi {{FirstName}},
Really appreciated the conversation earlier. Sounds like {{Company}} has some interesting projects in the pipeline.
As discussed, here's what I'll do on my end:
- {{ActionItem1}}
- {{ActionItem2}}
I'll circle back by {{FollowUpDate}} unless I hear from you sooner. Feel free to call me between the hours of 7am–11am EST with any questions.
Thanks,
August Cox
+1 (513) 348-0483
Sharp-Eye Precision Parts Co., Ltd.</t>
        </is>
      </c>
    </row>
    <row r="6" ht="200" customHeight="1">
      <c r="A6" s="2" t="n">
        <v>5</v>
      </c>
      <c r="B6" s="2" t="inlineStr">
        <is>
          <t>Quote Follow-up</t>
        </is>
      </c>
      <c r="C6" s="2" t="inlineStr">
        <is>
          <t>Sharp-Eye quote for {{Company}} — checking in</t>
        </is>
      </c>
      <c r="D6" s="2" t="inlineStr">
        <is>
          <t>Hi {{FirstName}},
Just following up on the quote I sent over for {{ProjectName}}. Wanted to make sure it landed safely and answer any questions you might have.
Happy to walk through the numbers or adjust anything that doesn't line up with what you're expecting.
Please let me know if you have any questions.
Thanks,
August Cox
+1 (513) 348-0483
Sharp-Eye Precision Parts Co., Ltd.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00" customWidth="1" min="3" max="3"/>
  </cols>
  <sheetData>
    <row r="1">
      <c r="A1" s="1" t="inlineStr">
        <is>
          <t>Script #</t>
        </is>
      </c>
      <c r="B1" s="1" t="inlineStr">
        <is>
          <t>Script Name</t>
        </is>
      </c>
      <c r="C1" s="1" t="inlineStr">
        <is>
          <t>Script / Notes</t>
        </is>
      </c>
    </row>
    <row r="2" ht="280" customHeight="1">
      <c r="A2" s="2" t="n">
        <v>1</v>
      </c>
      <c r="B2" s="2" t="inlineStr">
        <is>
          <t>Initial Cold Call Script</t>
        </is>
      </c>
      <c r="C2" s="2" t="inlineStr">
        <is>
          <t>--- OPENING ---
"Hi {{FirstName}}, this is August Cox with Sharp-Eye Precision Parts. Did I catch you at an okay time?"
--- HOOK ---
"I'll be quick — we do CNC turned parts, swiss-type automatic lathe work mostly. I've been looking at what {{Company}} does, and I think there might be a fit on the machining side."
--- QUALIFYING QUESTION ---
"Quick question — are you the right person to talk to about your machined parts supply, or should I be speaking with someone else?"
--- VALUE PROP ---
"We help companies in {{Industry}} get consistent, tight-tolerance turned parts without the headaches. Fast turnaround, competitive pricing, and we don't make excuses when things get tight."
--- CALL TO ACTION ---
"I'd love to send over a capabilities sheet and follow up next week. What's the best email to reach you at?"
--- CLOSE ---
"Thanks, {{FirstName}}. I'll send that over today. Feel free to call me between 7am–11am EST if anything comes to mind."</t>
        </is>
      </c>
    </row>
    <row r="3" ht="280" customHeight="1">
      <c r="A3" s="3" t="n">
        <v>2</v>
      </c>
      <c r="B3" s="3" t="inlineStr">
        <is>
          <t>Voicemail Script</t>
        </is>
      </c>
      <c r="C3" s="3" t="inlineStr">
        <is>
          <t>"Hi {{FirstName}}, this is August Cox at Sharp-Eye Precision Parts — that's 513-348-0483. I'm reaching out because we do CNC turned parts and I'd like to see if we can help {{Company}} with your machining needs. No need to call back unless it's convenient — I'll shoot you an email as well. Thanks."</t>
        </is>
      </c>
    </row>
    <row r="4" ht="280" customHeight="1">
      <c r="A4" s="2" t="n">
        <v>3</v>
      </c>
      <c r="B4" s="2" t="inlineStr">
        <is>
          <t>Gatekeeper Bypass Tips</t>
        </is>
      </c>
      <c r="C4" s="2" t="inlineStr">
        <is>
          <t>- Be polite and direct. Gatekeepers control access; treat them with respect.
- Use their name if you can find it.
- Don't pitch the gatekeeper — just ask for the right person.
  Example: "Hi, I'm trying to reach whoever handles your machined parts procurement. Can you point me in the right direction?"
- If they ask what it's about: "We're a CNC machine shop and I wanted to send over some information on our capabilities. Just trying to find the right contact."
- Best calling windows for manufacturers: 7am–9am EST or 4pm–5pm EST (before the floor gets busy, or after the day winds down).
- If gatekeeper is a hard no: ask for a general email to send info. Then follow up by name next time.
- Always log the gatekeeper's name in Notes for future calls.</t>
        </is>
      </c>
    </row>
    <row r="5" ht="280" customHeight="1">
      <c r="A5" s="3" t="n">
        <v>4</v>
      </c>
      <c r="B5" s="3" t="inlineStr">
        <is>
          <t>Follow-up Call Script</t>
        </is>
      </c>
      <c r="C5" s="3" t="inlineStr">
        <is>
          <t>--- OPENING ---
"Hi {{FirstName}}, August Cox from Sharp-Eye again. I sent over some info on our CNC capabilities last week — did you get a chance to look it over?"
--- IF YES ---
"Great. What stood out to you? Anything you'd like me to dig into more?"
[Listen for pain points, timelines, current suppliers]
--- IF NO ---
"No problem at all. The short version is: we do Swiss-type turned parts, tight tolerances, consistent quality. If you're running into any issues with your current supplier — lead times, quality, pricing — that's usually where we can help."
--- NEXT STEP ---
"What would be a good time for me to check back? I don't want to be a pest, but I do think this is worth a real conversation."
--- CLOSE ---
"Thanks, {{FirstName}}. I'll make a note and reach out then. Please let me know if you have any questions in the meantime."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2026-05-04T03:28:42Z</dcterms:created>
  <dcterms:modified xsi:type="dcterms:W3CDTF">2026-05-04T03:28:42Z</dcterms:modified>
</cp:coreProperties>
</file>